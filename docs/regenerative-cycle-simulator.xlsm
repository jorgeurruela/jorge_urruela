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vggt-my.sharepoint.com/personal/urr18133_uvg_edu_gt/Documents/Documentos/College apps/Docs for portfolio/"/>
    </mc:Choice>
  </mc:AlternateContent>
  <xr:revisionPtr revIDLastSave="3" documentId="13_ncr:1_{86E78E8D-9B8B-423E-B0D5-62ADEACD6B12}" xr6:coauthVersionLast="47" xr6:coauthVersionMax="47" xr10:uidLastSave="{523B3B2A-E4A8-4045-B735-600067147526}"/>
  <bookViews>
    <workbookView xWindow="-108" yWindow="-108" windowWidth="23256" windowHeight="12576" firstSheet="1" activeTab="1" xr2:uid="{226ED234-E81B-4599-884A-01F472079DDF}"/>
  </bookViews>
  <sheets>
    <sheet name="Info H2O SI" sheetId="37" state="hidden" r:id="rId1"/>
    <sheet name="Simuladores" sheetId="38" r:id="rId2"/>
  </sheets>
  <definedNames>
    <definedName name="PR1HR1">#REF!,#REF!</definedName>
    <definedName name="Pr1s">#REF!,#REF!</definedName>
    <definedName name="PR1SR0">#REF!,#REF!</definedName>
    <definedName name="PR1SR1">#REF!,#REF!</definedName>
    <definedName name="PR1Z0">#REF!,#REF!</definedName>
    <definedName name="PR1Z1">#REF!,#REF!</definedName>
    <definedName name="PR2HR1">#REF!,#REF!</definedName>
    <definedName name="PR2s">#REF!,#REF!</definedName>
    <definedName name="PR2SR0">#REF!,#REF!</definedName>
    <definedName name="PR2SR1">#REF!,#REF!</definedName>
    <definedName name="PR2Z0">#REF!,#REF!</definedName>
    <definedName name="PR2Z1">#REF!,#REF!</definedName>
    <definedName name="pres">#REF!,#REF!</definedName>
    <definedName name="presing">#REF!,#REF!</definedName>
    <definedName name="TR1HR1">#REF!,#REF!</definedName>
    <definedName name="TR1s">#REF!,#REF!</definedName>
    <definedName name="TR1SR0">#REF!,#REF!</definedName>
    <definedName name="TR1SR1">#REF!,#REF!</definedName>
    <definedName name="TR1Z0">#REF!,#REF!</definedName>
    <definedName name="TR1Z1">#REF!,#REF!</definedName>
    <definedName name="TR2HR1">#REF!,#REF!</definedName>
    <definedName name="TR2s">#REF!,#REF!</definedName>
    <definedName name="TR2SR0">#REF!,#REF!</definedName>
    <definedName name="TR2SR1">#REF!,#REF!</definedName>
    <definedName name="TR2Z0">#REF!,#REF!</definedName>
    <definedName name="TR2Z1">#REF!,#REF!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65" i="37" l="1"/>
  <c r="B265" i="37"/>
  <c r="J4" i="37"/>
  <c r="I4" i="37"/>
  <c r="C258" i="37" l="1"/>
  <c r="S8" i="37"/>
  <c r="B262" i="37"/>
  <c r="AL286" i="37"/>
  <c r="AK286" i="37"/>
  <c r="AJ286" i="37"/>
  <c r="AI286" i="37"/>
  <c r="AH286" i="37"/>
  <c r="AG286" i="37"/>
  <c r="AF286" i="37"/>
  <c r="AE286" i="37"/>
  <c r="AD286" i="37"/>
  <c r="AC286" i="37"/>
  <c r="AB286" i="37"/>
  <c r="AA286" i="37"/>
  <c r="Z286" i="37"/>
  <c r="Y286" i="37"/>
  <c r="X286" i="37"/>
  <c r="W286" i="37"/>
  <c r="V286" i="37"/>
  <c r="U286" i="37"/>
  <c r="T286" i="37"/>
  <c r="S286" i="37"/>
  <c r="R286" i="37"/>
  <c r="Q286" i="37"/>
  <c r="P286" i="37"/>
  <c r="O286" i="37"/>
  <c r="N286" i="37"/>
  <c r="M286" i="37"/>
  <c r="L286" i="37"/>
  <c r="K286" i="37"/>
  <c r="J286" i="37"/>
  <c r="I286" i="37"/>
  <c r="H286" i="37"/>
  <c r="G286" i="37"/>
  <c r="F286" i="37"/>
  <c r="E286" i="37"/>
  <c r="D286" i="37"/>
  <c r="C286" i="37"/>
  <c r="B286" i="37"/>
  <c r="A286" i="37"/>
  <c r="Q712" i="37"/>
  <c r="Q717" i="37"/>
  <c r="Q719" i="37"/>
  <c r="Q718" i="37"/>
  <c r="Q716" i="37"/>
  <c r="Q715" i="37"/>
  <c r="Q714" i="37"/>
  <c r="Q713" i="37"/>
  <c r="A297" i="37" l="1"/>
  <c r="A298" i="37" s="1"/>
  <c r="A299" i="37" s="1"/>
  <c r="A300" i="37" s="1"/>
  <c r="A281" i="37"/>
  <c r="T8" i="37"/>
  <c r="AS396" i="37"/>
  <c r="G263" i="37" s="1"/>
  <c r="H263" i="37" s="1"/>
  <c r="A269" i="37" s="1" a="1"/>
  <c r="W272" i="37" s="1"/>
  <c r="W293" i="37" s="1"/>
  <c r="Y9" i="37" l="1" a="1"/>
  <c r="Y9" i="37" s="1"/>
  <c r="Y18" i="37" a="1"/>
  <c r="Y18" i="37" s="1"/>
  <c r="X11" i="37" a="1"/>
  <c r="X11" i="37" s="1"/>
  <c r="X18" i="37" a="1"/>
  <c r="X18" i="37" s="1"/>
  <c r="Y12" i="37" a="1"/>
  <c r="Y12" i="37" s="1"/>
  <c r="Y14" i="37" a="1"/>
  <c r="Y14" i="37" s="1"/>
  <c r="X8" i="37" a="1"/>
  <c r="X8" i="37" s="1"/>
  <c r="Y10" i="37" a="1"/>
  <c r="Y10" i="37" s="1"/>
  <c r="X19" i="37" a="1"/>
  <c r="X19" i="37" s="1"/>
  <c r="Y13" i="37" a="1"/>
  <c r="Y13" i="37" s="1"/>
  <c r="Y19" i="37" a="1"/>
  <c r="Y19" i="37" s="1"/>
  <c r="X13" i="37" a="1"/>
  <c r="X13" i="37" s="1"/>
  <c r="X21" i="37" a="1"/>
  <c r="X21" i="37" s="1"/>
  <c r="X16" i="37" a="1"/>
  <c r="X16" i="37" s="1"/>
  <c r="Y8" i="37" a="1"/>
  <c r="Y8" i="37" s="1"/>
  <c r="Y16" i="37" a="1"/>
  <c r="Y16" i="37" s="1"/>
  <c r="Y11" i="37" a="1"/>
  <c r="Y11" i="37" s="1"/>
  <c r="Y17" i="37" a="1"/>
  <c r="Y17" i="37" s="1"/>
  <c r="Y21" i="37" a="1"/>
  <c r="Y21" i="37" s="1"/>
  <c r="X17" i="37" a="1"/>
  <c r="X17" i="37" s="1"/>
  <c r="X10" i="37" a="1"/>
  <c r="X10" i="37" s="1"/>
  <c r="X9" i="37" a="1"/>
  <c r="X9" i="37" s="1"/>
  <c r="X12" i="37" a="1"/>
  <c r="X12" i="37" s="1"/>
  <c r="X14" i="37" a="1"/>
  <c r="X14" i="37" s="1"/>
  <c r="Y20" i="37" a="1"/>
  <c r="Y20" i="37" s="1"/>
  <c r="X15" i="37" a="1"/>
  <c r="X15" i="37" s="1"/>
  <c r="X20" i="37" a="1"/>
  <c r="X20" i="37" s="1"/>
  <c r="Y15" i="37" a="1"/>
  <c r="Y15" i="37" s="1"/>
  <c r="I263" i="37"/>
  <c r="A273" i="37" s="1" a="1"/>
  <c r="A273" i="37" s="1"/>
  <c r="A288" i="37" s="1"/>
  <c r="C270" i="37"/>
  <c r="C289" i="37" s="1"/>
  <c r="A270" i="37"/>
  <c r="A289" i="37" s="1"/>
  <c r="G272" i="37"/>
  <c r="G293" i="37" s="1"/>
  <c r="AC271" i="37"/>
  <c r="AC291" i="37" s="1"/>
  <c r="S270" i="37"/>
  <c r="S289" i="37" s="1"/>
  <c r="I269" i="37"/>
  <c r="I287" i="37" s="1"/>
  <c r="AI270" i="37"/>
  <c r="AI289" i="37" s="1"/>
  <c r="A269" i="37"/>
  <c r="A287" i="37" s="1"/>
  <c r="V272" i="37"/>
  <c r="V293" i="37" s="1"/>
  <c r="AB271" i="37"/>
  <c r="AB291" i="37" s="1"/>
  <c r="AH270" i="37"/>
  <c r="AH289" i="37" s="1"/>
  <c r="B270" i="37"/>
  <c r="B289" i="37" s="1"/>
  <c r="H269" i="37"/>
  <c r="H287" i="37" s="1"/>
  <c r="M272" i="37"/>
  <c r="M293" i="37" s="1"/>
  <c r="S271" i="37"/>
  <c r="S291" i="37" s="1"/>
  <c r="AC270" i="37"/>
  <c r="AC289" i="37" s="1"/>
  <c r="E270" i="37"/>
  <c r="E289" i="37" s="1"/>
  <c r="K269" i="37"/>
  <c r="K287" i="37" s="1"/>
  <c r="AB272" i="37"/>
  <c r="AB293" i="37" s="1"/>
  <c r="L272" i="37"/>
  <c r="L293" i="37" s="1"/>
  <c r="AH271" i="37"/>
  <c r="AH291" i="37" s="1"/>
  <c r="R271" i="37"/>
  <c r="R291" i="37" s="1"/>
  <c r="B271" i="37"/>
  <c r="B291" i="37" s="1"/>
  <c r="X270" i="37"/>
  <c r="X289" i="37" s="1"/>
  <c r="H270" i="37"/>
  <c r="H289" i="37" s="1"/>
  <c r="AD269" i="37"/>
  <c r="AD287" i="37" s="1"/>
  <c r="N269" i="37"/>
  <c r="N287" i="37" s="1"/>
  <c r="AH272" i="37"/>
  <c r="AH293" i="37" s="1"/>
  <c r="B272" i="37"/>
  <c r="B293" i="37" s="1"/>
  <c r="H271" i="37"/>
  <c r="H291" i="37" s="1"/>
  <c r="N270" i="37"/>
  <c r="N289" i="37" s="1"/>
  <c r="T269" i="37"/>
  <c r="T287" i="37" s="1"/>
  <c r="Y272" i="37"/>
  <c r="Y293" i="37" s="1"/>
  <c r="AE271" i="37"/>
  <c r="AE291" i="37" s="1"/>
  <c r="AG270" i="37"/>
  <c r="AG289" i="37" s="1"/>
  <c r="AE269" i="37"/>
  <c r="AE287" i="37" s="1"/>
  <c r="AI272" i="37"/>
  <c r="AI293" i="37" s="1"/>
  <c r="S272" i="37"/>
  <c r="S293" i="37" s="1"/>
  <c r="C272" i="37"/>
  <c r="C293" i="37" s="1"/>
  <c r="Y271" i="37"/>
  <c r="Y291" i="37" s="1"/>
  <c r="I271" i="37"/>
  <c r="I291" i="37" s="1"/>
  <c r="AE270" i="37"/>
  <c r="AE289" i="37" s="1"/>
  <c r="O270" i="37"/>
  <c r="O289" i="37" s="1"/>
  <c r="AK269" i="37"/>
  <c r="AK287" i="37" s="1"/>
  <c r="U269" i="37"/>
  <c r="U287" i="37" s="1"/>
  <c r="E269" i="37"/>
  <c r="E287" i="37" s="1"/>
  <c r="AJ271" i="37"/>
  <c r="AJ291" i="37" s="1"/>
  <c r="D271" i="37"/>
  <c r="D291" i="37" s="1"/>
  <c r="J270" i="37"/>
  <c r="J289" i="37" s="1"/>
  <c r="U272" i="37"/>
  <c r="U293" i="37" s="1"/>
  <c r="AA271" i="37"/>
  <c r="AA291" i="37" s="1"/>
  <c r="M270" i="37"/>
  <c r="M289" i="37" s="1"/>
  <c r="AF272" i="37"/>
  <c r="AF293" i="37" s="1"/>
  <c r="AL271" i="37"/>
  <c r="AL291" i="37" s="1"/>
  <c r="V271" i="37"/>
  <c r="V291" i="37" s="1"/>
  <c r="AB270" i="37"/>
  <c r="AB289" i="37" s="1"/>
  <c r="AH269" i="37"/>
  <c r="AH287" i="37" s="1"/>
  <c r="B269" i="37"/>
  <c r="B287" i="37" s="1"/>
  <c r="P271" i="37"/>
  <c r="P291" i="37" s="1"/>
  <c r="AB269" i="37"/>
  <c r="AB287" i="37" s="1"/>
  <c r="A272" i="37"/>
  <c r="A293" i="37" s="1"/>
  <c r="G271" i="37"/>
  <c r="G291" i="37" s="1"/>
  <c r="N272" i="37"/>
  <c r="N293" i="37" s="1"/>
  <c r="T271" i="37"/>
  <c r="T291" i="37" s="1"/>
  <c r="Z270" i="37"/>
  <c r="Z289" i="37" s="1"/>
  <c r="AF269" i="37"/>
  <c r="AF287" i="37" s="1"/>
  <c r="AK272" i="37"/>
  <c r="AK293" i="37" s="1"/>
  <c r="E272" i="37"/>
  <c r="E293" i="37" s="1"/>
  <c r="K271" i="37"/>
  <c r="K291" i="37" s="1"/>
  <c r="Y270" i="37"/>
  <c r="Y289" i="37" s="1"/>
  <c r="AI269" i="37"/>
  <c r="AI287" i="37" s="1"/>
  <c r="C269" i="37"/>
  <c r="X272" i="37"/>
  <c r="X293" i="37" s="1"/>
  <c r="H272" i="37"/>
  <c r="H293" i="37" s="1"/>
  <c r="AD271" i="37"/>
  <c r="AD291" i="37" s="1"/>
  <c r="N271" i="37"/>
  <c r="N291" i="37" s="1"/>
  <c r="AJ270" i="37"/>
  <c r="AJ289" i="37" s="1"/>
  <c r="T270" i="37"/>
  <c r="T289" i="37" s="1"/>
  <c r="D270" i="37"/>
  <c r="D289" i="37" s="1"/>
  <c r="Z269" i="37"/>
  <c r="Z287" i="37" s="1"/>
  <c r="J269" i="37"/>
  <c r="J287" i="37" s="1"/>
  <c r="Z272" i="37"/>
  <c r="Z293" i="37" s="1"/>
  <c r="AF271" i="37"/>
  <c r="AF291" i="37" s="1"/>
  <c r="AL270" i="37"/>
  <c r="AL289" i="37" s="1"/>
  <c r="F270" i="37"/>
  <c r="F289" i="37" s="1"/>
  <c r="L269" i="37"/>
  <c r="L287" i="37" s="1"/>
  <c r="Q272" i="37"/>
  <c r="Q293" i="37" s="1"/>
  <c r="W271" i="37"/>
  <c r="W291" i="37" s="1"/>
  <c r="Q270" i="37"/>
  <c r="Q289" i="37" s="1"/>
  <c r="W269" i="37"/>
  <c r="W287" i="37" s="1"/>
  <c r="AE272" i="37"/>
  <c r="AE293" i="37" s="1"/>
  <c r="O272" i="37"/>
  <c r="O293" i="37" s="1"/>
  <c r="AK271" i="37"/>
  <c r="AK291" i="37" s="1"/>
  <c r="U271" i="37"/>
  <c r="U291" i="37" s="1"/>
  <c r="E271" i="37"/>
  <c r="E291" i="37" s="1"/>
  <c r="AA270" i="37"/>
  <c r="AA289" i="37" s="1"/>
  <c r="K270" i="37"/>
  <c r="K289" i="37" s="1"/>
  <c r="AG269" i="37"/>
  <c r="AG287" i="37" s="1"/>
  <c r="Q269" i="37"/>
  <c r="Q287" i="37" s="1"/>
  <c r="AL272" i="37"/>
  <c r="AL293" i="37" s="1"/>
  <c r="F272" i="37"/>
  <c r="F293" i="37" s="1"/>
  <c r="L271" i="37"/>
  <c r="L291" i="37" s="1"/>
  <c r="R270" i="37"/>
  <c r="R289" i="37" s="1"/>
  <c r="X269" i="37"/>
  <c r="X287" i="37" s="1"/>
  <c r="AC272" i="37"/>
  <c r="AC293" i="37" s="1"/>
  <c r="AI271" i="37"/>
  <c r="AI291" i="37" s="1"/>
  <c r="C271" i="37"/>
  <c r="C291" i="37" s="1"/>
  <c r="U270" i="37"/>
  <c r="U289" i="37" s="1"/>
  <c r="AA269" i="37"/>
  <c r="AA287" i="37" s="1"/>
  <c r="AJ272" i="37"/>
  <c r="AJ293" i="37" s="1"/>
  <c r="T272" i="37"/>
  <c r="T293" i="37" s="1"/>
  <c r="D272" i="37"/>
  <c r="D293" i="37" s="1"/>
  <c r="Z271" i="37"/>
  <c r="Z291" i="37" s="1"/>
  <c r="J271" i="37"/>
  <c r="J291" i="37" s="1"/>
  <c r="AF270" i="37"/>
  <c r="AF289" i="37" s="1"/>
  <c r="P270" i="37"/>
  <c r="P289" i="37" s="1"/>
  <c r="AL269" i="37"/>
  <c r="AL287" i="37" s="1"/>
  <c r="V269" i="37"/>
  <c r="V287" i="37" s="1"/>
  <c r="F269" i="37"/>
  <c r="F287" i="37" s="1"/>
  <c r="R272" i="37"/>
  <c r="R293" i="37" s="1"/>
  <c r="X271" i="37"/>
  <c r="X291" i="37" s="1"/>
  <c r="AD270" i="37"/>
  <c r="AD289" i="37" s="1"/>
  <c r="AJ269" i="37"/>
  <c r="AJ287" i="37" s="1"/>
  <c r="D269" i="37"/>
  <c r="D287" i="37" s="1"/>
  <c r="I272" i="37"/>
  <c r="I293" i="37" s="1"/>
  <c r="O271" i="37"/>
  <c r="O291" i="37" s="1"/>
  <c r="I270" i="37"/>
  <c r="I289" i="37" s="1"/>
  <c r="O269" i="37"/>
  <c r="O287" i="37" s="1"/>
  <c r="AA272" i="37"/>
  <c r="AA293" i="37" s="1"/>
  <c r="K272" i="37"/>
  <c r="K293" i="37" s="1"/>
  <c r="AG271" i="37"/>
  <c r="AG291" i="37" s="1"/>
  <c r="Q271" i="37"/>
  <c r="Q291" i="37" s="1"/>
  <c r="A271" i="37"/>
  <c r="A291" i="37" s="1"/>
  <c r="W270" i="37"/>
  <c r="W289" i="37" s="1"/>
  <c r="G270" i="37"/>
  <c r="G289" i="37" s="1"/>
  <c r="AC269" i="37"/>
  <c r="AC287" i="37" s="1"/>
  <c r="M269" i="37"/>
  <c r="M287" i="37" s="1"/>
  <c r="AD272" i="37"/>
  <c r="AD293" i="37" s="1"/>
  <c r="P269" i="37"/>
  <c r="P287" i="37" s="1"/>
  <c r="AK270" i="37"/>
  <c r="AK289" i="37" s="1"/>
  <c r="S269" i="37"/>
  <c r="S287" i="37" s="1"/>
  <c r="P272" i="37"/>
  <c r="P293" i="37" s="1"/>
  <c r="F271" i="37"/>
  <c r="F291" i="37" s="1"/>
  <c r="L270" i="37"/>
  <c r="L289" i="37" s="1"/>
  <c r="R269" i="37"/>
  <c r="R287" i="37" s="1"/>
  <c r="J272" i="37"/>
  <c r="J293" i="37" s="1"/>
  <c r="V270" i="37"/>
  <c r="V289" i="37" s="1"/>
  <c r="AG272" i="37"/>
  <c r="AG293" i="37" s="1"/>
  <c r="Y269" i="37"/>
  <c r="Y287" i="37" s="1"/>
  <c r="M271" i="37"/>
  <c r="M291" i="37" s="1"/>
  <c r="G269" i="37"/>
  <c r="G287" i="37" s="1"/>
  <c r="C287" i="37" l="1"/>
  <c r="S15" i="37"/>
  <c r="E298" i="37" s="1"/>
  <c r="S12" i="37"/>
  <c r="T12" i="37" s="1"/>
  <c r="S10" i="37"/>
  <c r="D297" i="37" s="1"/>
  <c r="S16" i="37"/>
  <c r="D299" i="37" s="1"/>
  <c r="S21" i="37"/>
  <c r="E300" i="37" s="1"/>
  <c r="S17" i="37"/>
  <c r="S18" i="37"/>
  <c r="E299" i="37" s="1"/>
  <c r="S20" i="37"/>
  <c r="S9" i="37"/>
  <c r="S14" i="37"/>
  <c r="S13" i="37"/>
  <c r="D298" i="37" s="1"/>
  <c r="S19" i="37"/>
  <c r="T19" i="37" s="1"/>
  <c r="S11" i="37"/>
  <c r="AH276" i="37"/>
  <c r="AH294" i="37" s="1"/>
  <c r="G275" i="37"/>
  <c r="G292" i="37" s="1"/>
  <c r="AF273" i="37"/>
  <c r="AF288" i="37" s="1"/>
  <c r="AL273" i="37"/>
  <c r="AL288" i="37" s="1"/>
  <c r="Q275" i="37"/>
  <c r="Q292" i="37" s="1"/>
  <c r="I276" i="37"/>
  <c r="I294" i="37" s="1"/>
  <c r="AD273" i="37"/>
  <c r="AD288" i="37" s="1"/>
  <c r="AJ273" i="37"/>
  <c r="AJ288" i="37" s="1"/>
  <c r="X276" i="37"/>
  <c r="X294" i="37" s="1"/>
  <c r="AA274" i="37"/>
  <c r="AA290" i="37" s="1"/>
  <c r="AI275" i="37"/>
  <c r="AI292" i="37" s="1"/>
  <c r="X275" i="37"/>
  <c r="X292" i="37" s="1"/>
  <c r="B273" i="37"/>
  <c r="B288" i="37" s="1"/>
  <c r="S274" i="37"/>
  <c r="S290" i="37" s="1"/>
  <c r="N276" i="37"/>
  <c r="N294" i="37" s="1"/>
  <c r="J274" i="37"/>
  <c r="J290" i="37" s="1"/>
  <c r="S276" i="37"/>
  <c r="S294" i="37" s="1"/>
  <c r="K275" i="37"/>
  <c r="K292" i="37" s="1"/>
  <c r="E275" i="37"/>
  <c r="E292" i="37" s="1"/>
  <c r="AF275" i="37"/>
  <c r="AF292" i="37" s="1"/>
  <c r="AC274" i="37"/>
  <c r="AC290" i="37" s="1"/>
  <c r="AJ276" i="37"/>
  <c r="AJ294" i="37" s="1"/>
  <c r="V273" i="37"/>
  <c r="V288" i="37" s="1"/>
  <c r="A275" i="37"/>
  <c r="A292" i="37" s="1"/>
  <c r="AE275" i="37"/>
  <c r="AE292" i="37" s="1"/>
  <c r="AD276" i="37"/>
  <c r="AD294" i="37" s="1"/>
  <c r="U276" i="37"/>
  <c r="U294" i="37" s="1"/>
  <c r="AD275" i="37"/>
  <c r="AD292" i="37" s="1"/>
  <c r="AG273" i="37"/>
  <c r="AG288" i="37" s="1"/>
  <c r="S275" i="37"/>
  <c r="S292" i="37" s="1"/>
  <c r="Z274" i="37"/>
  <c r="Z290" i="37" s="1"/>
  <c r="L274" i="37"/>
  <c r="L290" i="37" s="1"/>
  <c r="AC275" i="37"/>
  <c r="AC292" i="37" s="1"/>
  <c r="F274" i="37"/>
  <c r="F290" i="37" s="1"/>
  <c r="P273" i="37"/>
  <c r="P288" i="37" s="1"/>
  <c r="Y275" i="37"/>
  <c r="Y292" i="37" s="1"/>
  <c r="Q274" i="37"/>
  <c r="Q290" i="37" s="1"/>
  <c r="R276" i="37"/>
  <c r="R294" i="37" s="1"/>
  <c r="V274" i="37"/>
  <c r="V290" i="37" s="1"/>
  <c r="A276" i="37"/>
  <c r="A294" i="37" s="1"/>
  <c r="M274" i="37"/>
  <c r="M290" i="37" s="1"/>
  <c r="AJ275" i="37"/>
  <c r="AJ292" i="37" s="1"/>
  <c r="T276" i="37"/>
  <c r="T294" i="37" s="1"/>
  <c r="AF274" i="37"/>
  <c r="AF290" i="37" s="1"/>
  <c r="F273" i="37"/>
  <c r="F288" i="37" s="1"/>
  <c r="K276" i="37"/>
  <c r="K294" i="37" s="1"/>
  <c r="W274" i="37"/>
  <c r="W290" i="37" s="1"/>
  <c r="D275" i="37"/>
  <c r="D292" i="37" s="1"/>
  <c r="AK274" i="37"/>
  <c r="AK290" i="37" s="1"/>
  <c r="R275" i="37"/>
  <c r="R292" i="37" s="1"/>
  <c r="AI276" i="37"/>
  <c r="AI294" i="37" s="1"/>
  <c r="U273" i="37"/>
  <c r="U288" i="37" s="1"/>
  <c r="AA275" i="37"/>
  <c r="AA292" i="37" s="1"/>
  <c r="J276" i="37"/>
  <c r="J294" i="37" s="1"/>
  <c r="AJ274" i="37"/>
  <c r="AJ290" i="37" s="1"/>
  <c r="O276" i="37"/>
  <c r="O294" i="37" s="1"/>
  <c r="Z276" i="37"/>
  <c r="Z294" i="37" s="1"/>
  <c r="AC276" i="37"/>
  <c r="AC294" i="37" s="1"/>
  <c r="C275" i="37"/>
  <c r="C292" i="37" s="1"/>
  <c r="C299" i="37" s="1"/>
  <c r="O273" i="37"/>
  <c r="O288" i="37" s="1"/>
  <c r="X273" i="37"/>
  <c r="X288" i="37" s="1"/>
  <c r="V275" i="37"/>
  <c r="V292" i="37" s="1"/>
  <c r="AH273" i="37"/>
  <c r="AH288" i="37" s="1"/>
  <c r="L273" i="37"/>
  <c r="L288" i="37" s="1"/>
  <c r="M275" i="37"/>
  <c r="M292" i="37" s="1"/>
  <c r="Y273" i="37"/>
  <c r="Y288" i="37" s="1"/>
  <c r="Y276" i="37"/>
  <c r="Y294" i="37" s="1"/>
  <c r="V276" i="37"/>
  <c r="V294" i="37" s="1"/>
  <c r="AB276" i="37"/>
  <c r="AB294" i="37" s="1"/>
  <c r="N273" i="37"/>
  <c r="N288" i="37" s="1"/>
  <c r="AE274" i="37"/>
  <c r="AE290" i="37" s="1"/>
  <c r="AK276" i="37"/>
  <c r="AK294" i="37" s="1"/>
  <c r="W273" i="37"/>
  <c r="W288" i="37" s="1"/>
  <c r="N275" i="37"/>
  <c r="N292" i="37" s="1"/>
  <c r="AE276" i="37"/>
  <c r="AE294" i="37" s="1"/>
  <c r="Q273" i="37"/>
  <c r="Q288" i="37" s="1"/>
  <c r="AG276" i="37"/>
  <c r="AG294" i="37" s="1"/>
  <c r="S273" i="37"/>
  <c r="S288" i="37" s="1"/>
  <c r="Z275" i="37"/>
  <c r="Z292" i="37" s="1"/>
  <c r="R274" i="37"/>
  <c r="R290" i="37" s="1"/>
  <c r="AC273" i="37"/>
  <c r="AC288" i="37" s="1"/>
  <c r="K273" i="37"/>
  <c r="K288" i="37" s="1"/>
  <c r="I275" i="37"/>
  <c r="I292" i="37" s="1"/>
  <c r="A274" i="37"/>
  <c r="A290" i="37" s="1"/>
  <c r="J273" i="37"/>
  <c r="J288" i="37" s="1"/>
  <c r="N274" i="37"/>
  <c r="N290" i="37" s="1"/>
  <c r="I274" i="37"/>
  <c r="I290" i="37" s="1"/>
  <c r="P276" i="37"/>
  <c r="P294" i="37" s="1"/>
  <c r="AB274" i="37"/>
  <c r="AB290" i="37" s="1"/>
  <c r="G276" i="37"/>
  <c r="G294" i="37" s="1"/>
  <c r="U274" i="37"/>
  <c r="U290" i="37" s="1"/>
  <c r="B275" i="37"/>
  <c r="B292" i="37" s="1"/>
  <c r="E273" i="37"/>
  <c r="E288" i="37" s="1"/>
  <c r="H273" i="37"/>
  <c r="H288" i="37" s="1"/>
  <c r="Z273" i="37"/>
  <c r="Z288" i="37" s="1"/>
  <c r="Q276" i="37"/>
  <c r="Q294" i="37" s="1"/>
  <c r="C273" i="37"/>
  <c r="C288" i="37" s="1"/>
  <c r="C297" i="37" s="1"/>
  <c r="J275" i="37"/>
  <c r="J292" i="37" s="1"/>
  <c r="AA276" i="37"/>
  <c r="AA294" i="37" s="1"/>
  <c r="M273" i="37"/>
  <c r="M288" i="37" s="1"/>
  <c r="L276" i="37"/>
  <c r="L294" i="37" s="1"/>
  <c r="O274" i="37"/>
  <c r="O290" i="37" s="1"/>
  <c r="G273" i="37"/>
  <c r="G288" i="37" s="1"/>
  <c r="AL274" i="37"/>
  <c r="AL290" i="37" s="1"/>
  <c r="T273" i="37"/>
  <c r="T288" i="37" s="1"/>
  <c r="AE273" i="37"/>
  <c r="AE288" i="37" s="1"/>
  <c r="AL275" i="37"/>
  <c r="AL292" i="37" s="1"/>
  <c r="AB275" i="37"/>
  <c r="AB292" i="37" s="1"/>
  <c r="C274" i="37"/>
  <c r="C290" i="37" s="1"/>
  <c r="C298" i="37" s="1"/>
  <c r="AA273" i="37"/>
  <c r="AA288" i="37" s="1"/>
  <c r="H274" i="37"/>
  <c r="H290" i="37" s="1"/>
  <c r="B276" i="37"/>
  <c r="B294" i="37" s="1"/>
  <c r="H276" i="37"/>
  <c r="H294" i="37" s="1"/>
  <c r="K274" i="37"/>
  <c r="K290" i="37" s="1"/>
  <c r="AB273" i="37"/>
  <c r="AB288" i="37" s="1"/>
  <c r="W275" i="37"/>
  <c r="W292" i="37" s="1"/>
  <c r="AI273" i="37"/>
  <c r="AI288" i="37" s="1"/>
  <c r="AH274" i="37"/>
  <c r="AH290" i="37" s="1"/>
  <c r="D276" i="37"/>
  <c r="D294" i="37" s="1"/>
  <c r="P274" i="37"/>
  <c r="P290" i="37" s="1"/>
  <c r="F276" i="37"/>
  <c r="F294" i="37" s="1"/>
  <c r="AG275" i="37"/>
  <c r="AG292" i="37" s="1"/>
  <c r="G274" i="37"/>
  <c r="G290" i="37" s="1"/>
  <c r="D273" i="37"/>
  <c r="D288" i="37" s="1"/>
  <c r="E274" i="37"/>
  <c r="E290" i="37" s="1"/>
  <c r="X274" i="37"/>
  <c r="X290" i="37" s="1"/>
  <c r="C276" i="37"/>
  <c r="C294" i="37" s="1"/>
  <c r="C300" i="37" s="1"/>
  <c r="AD274" i="37"/>
  <c r="AD290" i="37" s="1"/>
  <c r="AG274" i="37"/>
  <c r="AG290" i="37" s="1"/>
  <c r="B274" i="37"/>
  <c r="B290" i="37" s="1"/>
  <c r="D274" i="37"/>
  <c r="D290" i="37" s="1"/>
  <c r="U275" i="37"/>
  <c r="U292" i="37" s="1"/>
  <c r="T275" i="37"/>
  <c r="T292" i="37" s="1"/>
  <c r="M276" i="37"/>
  <c r="M294" i="37" s="1"/>
  <c r="Y274" i="37"/>
  <c r="Y290" i="37" s="1"/>
  <c r="AL276" i="37"/>
  <c r="AL294" i="37" s="1"/>
  <c r="AF276" i="37"/>
  <c r="AF294" i="37" s="1"/>
  <c r="F275" i="37"/>
  <c r="F292" i="37" s="1"/>
  <c r="R273" i="37"/>
  <c r="R288" i="37" s="1"/>
  <c r="W276" i="37"/>
  <c r="W294" i="37" s="1"/>
  <c r="AI274" i="37"/>
  <c r="AI290" i="37" s="1"/>
  <c r="I273" i="37"/>
  <c r="I288" i="37" s="1"/>
  <c r="O275" i="37"/>
  <c r="O292" i="37" s="1"/>
  <c r="P275" i="37"/>
  <c r="P292" i="37" s="1"/>
  <c r="AH275" i="37"/>
  <c r="AH292" i="37" s="1"/>
  <c r="L275" i="37"/>
  <c r="L292" i="37" s="1"/>
  <c r="AK273" i="37"/>
  <c r="AK288" i="37" s="1"/>
  <c r="E276" i="37"/>
  <c r="E294" i="37" s="1"/>
  <c r="H275" i="37"/>
  <c r="H292" i="37" s="1"/>
  <c r="T274" i="37"/>
  <c r="T290" i="37" s="1"/>
  <c r="AK275" i="37"/>
  <c r="AK292" i="37" s="1"/>
  <c r="T9" i="37" l="1"/>
  <c r="B281" i="37"/>
  <c r="E278" i="37"/>
  <c r="A279" i="37" a="1"/>
  <c r="B296" i="37"/>
  <c r="E296" i="37" s="1"/>
  <c r="AA9" i="37"/>
  <c r="D281" i="37" s="1"/>
  <c r="T10" i="37"/>
  <c r="T13" i="37" s="1"/>
  <c r="E297" i="37"/>
  <c r="AB9" i="37"/>
  <c r="E281" i="37" s="1"/>
  <c r="T21" i="37"/>
  <c r="U20" i="37" s="1"/>
  <c r="D300" i="37"/>
  <c r="A279" i="37" l="1"/>
  <c r="N280" i="37"/>
  <c r="T279" i="37"/>
  <c r="Y280" i="37"/>
  <c r="AA279" i="37"/>
  <c r="AJ280" i="37"/>
  <c r="T280" i="37"/>
  <c r="D280" i="37"/>
  <c r="Z279" i="37"/>
  <c r="J279" i="37"/>
  <c r="Z280" i="37"/>
  <c r="AF279" i="37"/>
  <c r="AK280" i="37"/>
  <c r="E280" i="37"/>
  <c r="O279" i="37"/>
  <c r="AA280" i="37"/>
  <c r="K280" i="37"/>
  <c r="AG279" i="37"/>
  <c r="Q279" i="37"/>
  <c r="AL280" i="37"/>
  <c r="F280" i="37"/>
  <c r="L279" i="37"/>
  <c r="Q280" i="37"/>
  <c r="W279" i="37"/>
  <c r="AF280" i="37"/>
  <c r="P280" i="37"/>
  <c r="AL279" i="37"/>
  <c r="V279" i="37"/>
  <c r="F279" i="37"/>
  <c r="R280" i="37"/>
  <c r="X279" i="37"/>
  <c r="AC280" i="37"/>
  <c r="AI279" i="37"/>
  <c r="G279" i="37"/>
  <c r="W280" i="37"/>
  <c r="G280" i="37"/>
  <c r="AC279" i="37"/>
  <c r="M279" i="37"/>
  <c r="AD280" i="37"/>
  <c r="AJ279" i="37"/>
  <c r="D279" i="37"/>
  <c r="I280" i="37"/>
  <c r="K279" i="37"/>
  <c r="AB280" i="37"/>
  <c r="L280" i="37"/>
  <c r="AH279" i="37"/>
  <c r="R279" i="37"/>
  <c r="B279" i="37"/>
  <c r="J280" i="37"/>
  <c r="P279" i="37"/>
  <c r="U280" i="37"/>
  <c r="AE279" i="37"/>
  <c r="AI280" i="37"/>
  <c r="S280" i="37"/>
  <c r="C280" i="37"/>
  <c r="Y279" i="37"/>
  <c r="I279" i="37"/>
  <c r="V280" i="37"/>
  <c r="AB279" i="37"/>
  <c r="AG280" i="37"/>
  <c r="A280" i="37"/>
  <c r="C279" i="37"/>
  <c r="X280" i="37"/>
  <c r="H280" i="37"/>
  <c r="AD279" i="37"/>
  <c r="N279" i="37"/>
  <c r="AH280" i="37"/>
  <c r="B280" i="37"/>
  <c r="H279" i="37"/>
  <c r="M280" i="37"/>
  <c r="S279" i="37"/>
  <c r="AE280" i="37"/>
  <c r="O280" i="37"/>
  <c r="AK279" i="37"/>
  <c r="U279" i="37"/>
  <c r="E279" i="37"/>
  <c r="D296" i="37"/>
  <c r="B297" i="37"/>
  <c r="B298" i="37" s="1"/>
  <c r="B299" i="37" s="1"/>
  <c r="B300" i="37" s="1"/>
  <c r="AL300" i="37" s="1"/>
  <c r="AK281" i="37" l="1"/>
  <c r="N281" i="37"/>
  <c r="P281" i="37"/>
  <c r="L281" i="37"/>
  <c r="AH281" i="37"/>
  <c r="AG281" i="37"/>
  <c r="G281" i="37"/>
  <c r="H281" i="37"/>
  <c r="AD281" i="37"/>
  <c r="AC281" i="37"/>
  <c r="AI281" i="37"/>
  <c r="F281" i="37"/>
  <c r="AA281" i="37"/>
  <c r="Y281" i="37"/>
  <c r="AE281" i="37"/>
  <c r="AJ281" i="37"/>
  <c r="V281" i="37"/>
  <c r="W281" i="37"/>
  <c r="AF281" i="37"/>
  <c r="U281" i="37"/>
  <c r="S281" i="37"/>
  <c r="AB281" i="37"/>
  <c r="R281" i="37"/>
  <c r="K281" i="37"/>
  <c r="X281" i="37"/>
  <c r="AL281" i="37"/>
  <c r="Q281" i="37"/>
  <c r="O281" i="37"/>
  <c r="T281" i="37"/>
  <c r="M281" i="37"/>
  <c r="J281" i="37"/>
  <c r="I281" i="37"/>
  <c r="Z281" i="37"/>
  <c r="AL297" i="37"/>
  <c r="AK297" i="37" s="1"/>
  <c r="AJ297" i="37" s="1"/>
  <c r="AI297" i="37" s="1"/>
  <c r="AH297" i="37" s="1"/>
  <c r="AG297" i="37" s="1"/>
  <c r="AF297" i="37" s="1"/>
  <c r="AE297" i="37" s="1"/>
  <c r="AD297" i="37" s="1"/>
  <c r="AC297" i="37" s="1"/>
  <c r="AB297" i="37" s="1"/>
  <c r="AA297" i="37" s="1"/>
  <c r="Z297" i="37" s="1"/>
  <c r="Y297" i="37" s="1"/>
  <c r="X297" i="37" s="1"/>
  <c r="W297" i="37" s="1"/>
  <c r="V297" i="37" s="1"/>
  <c r="U297" i="37" s="1"/>
  <c r="T297" i="37" s="1"/>
  <c r="S297" i="37" s="1"/>
  <c r="R297" i="37" s="1"/>
  <c r="Q297" i="37" s="1"/>
  <c r="P297" i="37" s="1"/>
  <c r="O297" i="37" s="1"/>
  <c r="N297" i="37" s="1"/>
  <c r="M297" i="37" s="1"/>
  <c r="L297" i="37" s="1"/>
  <c r="K297" i="37" s="1"/>
  <c r="J297" i="37" s="1"/>
  <c r="I297" i="37" s="1"/>
  <c r="H297" i="37" s="1"/>
  <c r="G297" i="37" s="1"/>
  <c r="F297" i="37" s="1"/>
  <c r="AL298" i="37"/>
  <c r="AK298" i="37" s="1"/>
  <c r="AJ298" i="37" s="1"/>
  <c r="AI298" i="37" s="1"/>
  <c r="AH298" i="37" s="1"/>
  <c r="AG298" i="37" s="1"/>
  <c r="AF298" i="37" s="1"/>
  <c r="AE298" i="37" s="1"/>
  <c r="AD298" i="37" s="1"/>
  <c r="AC298" i="37" s="1"/>
  <c r="AB298" i="37" s="1"/>
  <c r="AA298" i="37" s="1"/>
  <c r="Z298" i="37" s="1"/>
  <c r="Y298" i="37" s="1"/>
  <c r="X298" i="37" s="1"/>
  <c r="W298" i="37" s="1"/>
  <c r="V298" i="37" s="1"/>
  <c r="U298" i="37" s="1"/>
  <c r="T298" i="37" s="1"/>
  <c r="S298" i="37" s="1"/>
  <c r="R298" i="37" s="1"/>
  <c r="Q298" i="37" s="1"/>
  <c r="P298" i="37" s="1"/>
  <c r="O298" i="37" s="1"/>
  <c r="N298" i="37" s="1"/>
  <c r="M298" i="37" s="1"/>
  <c r="L298" i="37" s="1"/>
  <c r="K298" i="37" s="1"/>
  <c r="J298" i="37" s="1"/>
  <c r="I298" i="37" s="1"/>
  <c r="H298" i="37" s="1"/>
  <c r="G298" i="37" s="1"/>
  <c r="F298" i="37" s="1"/>
  <c r="AL299" i="37"/>
  <c r="AI300" i="37"/>
  <c r="AH300" i="37" s="1"/>
  <c r="AG300" i="37" s="1"/>
  <c r="AF300" i="37" s="1"/>
  <c r="AE300" i="37" s="1"/>
  <c r="AD300" i="37" s="1"/>
  <c r="AC300" i="37" s="1"/>
  <c r="AB300" i="37" s="1"/>
  <c r="AA300" i="37" s="1"/>
  <c r="Z300" i="37" s="1"/>
  <c r="Y300" i="37" s="1"/>
  <c r="X300" i="37" s="1"/>
  <c r="W300" i="37" s="1"/>
  <c r="V300" i="37" s="1"/>
  <c r="U300" i="37" s="1"/>
  <c r="T300" i="37" s="1"/>
  <c r="S300" i="37" s="1"/>
  <c r="R300" i="37" s="1"/>
  <c r="Q300" i="37" s="1"/>
  <c r="P300" i="37" s="1"/>
  <c r="O300" i="37" s="1"/>
  <c r="N300" i="37" s="1"/>
  <c r="M300" i="37" s="1"/>
  <c r="L300" i="37" s="1"/>
  <c r="K300" i="37" s="1"/>
  <c r="J300" i="37" s="1"/>
  <c r="I300" i="37" s="1"/>
  <c r="H300" i="37" s="1"/>
  <c r="G300" i="37" s="1"/>
  <c r="F300" i="37" s="1"/>
  <c r="AK299" i="37"/>
  <c r="AJ299" i="37" s="1"/>
  <c r="AI299" i="37" s="1"/>
  <c r="AH299" i="37" s="1"/>
  <c r="AG299" i="37" s="1"/>
  <c r="AF299" i="37" s="1"/>
  <c r="AE299" i="37" s="1"/>
  <c r="AD299" i="37" s="1"/>
  <c r="AC299" i="37" s="1"/>
  <c r="AB299" i="37" s="1"/>
  <c r="AA299" i="37" s="1"/>
  <c r="Z299" i="37" s="1"/>
  <c r="Y299" i="37" s="1"/>
  <c r="X299" i="37" s="1"/>
  <c r="W299" i="37" s="1"/>
  <c r="V299" i="37" s="1"/>
  <c r="U299" i="37" s="1"/>
  <c r="T299" i="37" s="1"/>
  <c r="S299" i="37" s="1"/>
  <c r="R299" i="37" s="1"/>
  <c r="Q299" i="37" s="1"/>
  <c r="P299" i="37" s="1"/>
  <c r="O299" i="37" s="1"/>
  <c r="N299" i="37" s="1"/>
  <c r="M299" i="37" s="1"/>
  <c r="L299" i="37" s="1"/>
  <c r="K299" i="37" s="1"/>
  <c r="J299" i="37" s="1"/>
  <c r="I299" i="37" s="1"/>
  <c r="H299" i="37" s="1"/>
  <c r="G299" i="37" s="1"/>
  <c r="F299" i="37" s="1"/>
  <c r="AK300" i="37"/>
  <c r="AJ300" i="37"/>
  <c r="A284" i="37" l="1" a="1"/>
  <c r="A284" i="37" s="1"/>
  <c r="B284" i="37" l="1"/>
  <c r="C284" i="37"/>
  <c r="D284" i="37" a="1"/>
  <c r="D284" i="37" s="1"/>
  <c r="AM296" i="37" s="1"/>
  <c r="E284" i="37" a="1"/>
  <c r="E284" i="37" s="1"/>
  <c r="AN296" i="37" s="1"/>
  <c r="F284" i="37" l="1"/>
  <c r="E262" i="37" s="1"/>
  <c r="AN299" i="37"/>
  <c r="AN297" i="37"/>
  <c r="AN300" i="37"/>
  <c r="AN298" i="37"/>
  <c r="AM299" i="37"/>
  <c r="AM297" i="37"/>
  <c r="AM300" i="37"/>
  <c r="AM298" i="37"/>
  <c r="E263" i="37" l="1"/>
  <c r="A259" i="37" l="1"/>
  <c r="R34" i="37" s="1"/>
  <c r="G259" i="37"/>
  <c r="T34" i="37" s="1"/>
  <c r="D259" i="37"/>
  <c r="S34" i="37" s="1"/>
  <c r="M259" i="37"/>
  <c r="V34" i="37" s="1"/>
  <c r="J259" i="37"/>
  <c r="U34" i="37" s="1"/>
  <c r="AC9" i="37"/>
  <c r="H1" i="37"/>
  <c r="W34" i="37" l="1"/>
  <c r="S35" i="37" s="1"/>
  <c r="E6" i="37"/>
  <c r="R24" i="37" s="1"/>
  <c r="U18" i="37" s="1"/>
  <c r="C281" i="37"/>
  <c r="R35" i="37" l="1"/>
  <c r="V35" i="37"/>
  <c r="T35" i="37"/>
  <c r="S26" i="37"/>
  <c r="T30" i="37" s="1"/>
  <c r="R36" i="37"/>
  <c r="S36" i="37"/>
  <c r="T36" i="37"/>
  <c r="S28" i="37"/>
  <c r="V36" i="37"/>
  <c r="U35" i="37"/>
  <c r="U36" i="37"/>
  <c r="V23" i="37"/>
  <c r="R23" i="37" s="1"/>
  <c r="S23" i="37"/>
  <c r="S25" i="37"/>
  <c r="V25" i="37" s="1"/>
  <c r="S27" i="37"/>
  <c r="W35" i="37" l="1"/>
  <c r="V26" i="37"/>
  <c r="W36" i="37"/>
  <c r="V27" i="37"/>
  <c r="V28" i="37"/>
  <c r="T37" i="37" l="1"/>
  <c r="U37" i="37"/>
  <c r="R37" i="37"/>
  <c r="S37" i="37"/>
  <c r="V37" i="37"/>
  <c r="W37" i="37"/>
  <c r="E265" i="37"/>
  <c r="E266" i="37"/>
  <c r="E264" i="37"/>
  <c r="R39" i="37" l="1" a="1"/>
  <c r="R42" i="37" s="1"/>
  <c r="E4" i="37" s="1"/>
  <c r="R40" i="37" l="1"/>
  <c r="E2" i="37" s="1"/>
  <c r="R41" i="37"/>
  <c r="E3" i="37" s="1"/>
  <c r="R39" i="37"/>
  <c r="E1" i="37" s="1"/>
  <c r="R43" i="37"/>
  <c r="E5" i="3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<sst xmlns="http://schemas.openxmlformats.org/spreadsheetml/2006/main" count="4916" uniqueCount="89">
  <si>
    <t>V</t>
  </si>
  <si>
    <t>P</t>
  </si>
  <si>
    <t>T</t>
  </si>
  <si>
    <t>K</t>
  </si>
  <si>
    <t>m^3</t>
  </si>
  <si>
    <t>kPa</t>
  </si>
  <si>
    <t>kJ</t>
  </si>
  <si>
    <t>°C</t>
  </si>
  <si>
    <t>t</t>
  </si>
  <si>
    <t>líq.</t>
  </si>
  <si>
    <t>vap.</t>
  </si>
  <si>
    <t>evap.</t>
  </si>
  <si>
    <t>sat.</t>
  </si>
  <si>
    <t>Volumen específico V cm^3/g</t>
  </si>
  <si>
    <t>Energía interna específica U kJ/kg</t>
  </si>
  <si>
    <t>Entalpía específica H kJ/kg</t>
  </si>
  <si>
    <t>Entropía específica S kJ/kg K</t>
  </si>
  <si>
    <t>0.8189.</t>
  </si>
  <si>
    <t>U</t>
  </si>
  <si>
    <t>H</t>
  </si>
  <si>
    <t>S</t>
  </si>
  <si>
    <t>.......</t>
  </si>
  <si>
    <t>P/kPa</t>
  </si>
  <si>
    <t>tsat/°C</t>
  </si>
  <si>
    <t>......</t>
  </si>
  <si>
    <t>V liq sat</t>
  </si>
  <si>
    <t>V evap</t>
  </si>
  <si>
    <t>cm^3/g</t>
  </si>
  <si>
    <t>V vap sat</t>
  </si>
  <si>
    <t>U vap sat</t>
  </si>
  <si>
    <t>U evap</t>
  </si>
  <si>
    <t>U liq sat</t>
  </si>
  <si>
    <t>kJ/kg</t>
  </si>
  <si>
    <t>H liq sat</t>
  </si>
  <si>
    <t>H evap</t>
  </si>
  <si>
    <t>H vap sat</t>
  </si>
  <si>
    <t>S liq sat</t>
  </si>
  <si>
    <t>S evap</t>
  </si>
  <si>
    <t>S vap sat</t>
  </si>
  <si>
    <t>kJ/kgK</t>
  </si>
  <si>
    <t>P/P</t>
  </si>
  <si>
    <t>V/V</t>
  </si>
  <si>
    <t>m</t>
  </si>
  <si>
    <t>kg</t>
  </si>
  <si>
    <t>kJ/K</t>
  </si>
  <si>
    <t>Proporcion</t>
  </si>
  <si>
    <t>m/m</t>
  </si>
  <si>
    <t>R15/S2/(R15/S2+(1-R15)/S4)</t>
  </si>
  <si>
    <t>vap sat</t>
  </si>
  <si>
    <t>liq sat</t>
  </si>
  <si>
    <t>Propiedad</t>
  </si>
  <si>
    <t>…....</t>
  </si>
  <si>
    <t>T(°C)</t>
  </si>
  <si>
    <t>U (kJ/kg)</t>
  </si>
  <si>
    <t>H (kJ/kg)</t>
  </si>
  <si>
    <t>S (kJ/kgK)</t>
  </si>
  <si>
    <t>P (kPa)</t>
  </si>
  <si>
    <t>Magnitud</t>
  </si>
  <si>
    <t>Presiones (kPa)</t>
  </si>
  <si>
    <t>Pant</t>
  </si>
  <si>
    <t>Psig</t>
  </si>
  <si>
    <t>Jerarquía</t>
  </si>
  <si>
    <t>Ant</t>
  </si>
  <si>
    <t>Sig</t>
  </si>
  <si>
    <t>Tant</t>
  </si>
  <si>
    <t>Tsig</t>
  </si>
  <si>
    <t>Coincidencia</t>
  </si>
  <si>
    <t>Calidad</t>
  </si>
  <si>
    <t>liq</t>
  </si>
  <si>
    <t>vap</t>
  </si>
  <si>
    <t>1-Calidad</t>
  </si>
  <si>
    <t>ant</t>
  </si>
  <si>
    <t>sig</t>
  </si>
  <si>
    <t>Jer</t>
  </si>
  <si>
    <t>Jer total</t>
  </si>
  <si>
    <t>Pronosticado</t>
  </si>
  <si>
    <t>V (cm^3/g)</t>
  </si>
  <si>
    <t>Etapa</t>
  </si>
  <si>
    <t>Proporción del flujo desviado</t>
  </si>
  <si>
    <t>Eficiencia del ciclo</t>
  </si>
  <si>
    <t>Eficiencia de Carnot</t>
  </si>
  <si>
    <t>¡AVISO! Habilitar macros para que funcione</t>
  </si>
  <si>
    <t>Prop ant</t>
  </si>
  <si>
    <t>Prop sig</t>
  </si>
  <si>
    <t>S (kJ/kg K)</t>
  </si>
  <si>
    <t>T (°C)</t>
  </si>
  <si>
    <t>Trabajo realizado por el sistema en la turbina (kJ/kg)</t>
  </si>
  <si>
    <t>Qc condensador (kJ/kg)</t>
  </si>
  <si>
    <t>Ws bomba (kJ/kg)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</si>
</sst>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2" borderId="0" xfId="0" applyFill="1"/>
    <xf numFmtId="0" fontId="0" fillId="2" borderId="1" xfId="0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9B452D56-6690-4D26-AB51-7AE95C6E3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22860</xdr:rowOff>
        </xdr:from>
        <xdr:to>
          <xdr:col>1</xdr:col>
          <xdr:colOff>762000</xdr:colOff>
          <xdr:row>2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Ciclo Regenerativo con un calentador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228600</xdr:colOff>
      <xdr:row>0</xdr:row>
      <xdr:rowOff>0</xdr:rowOff>
    </xdr:from>
    <xdr:to>
      <xdr:col>14</xdr:col>
      <xdr:colOff>741045</xdr:colOff>
      <xdr:row>14</xdr:row>
      <xdr:rowOff>40005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68440" y="0"/>
          <a:ext cx="5267325" cy="260032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7620</xdr:colOff>
      <xdr:row>33</xdr:row>
      <xdr:rowOff>7620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FC1F892-94F2-11DC-C912-B4FAC95F6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77440" y="3291840"/>
          <a:ext cx="3970020" cy="2750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0834C-5FD9-4DB3-A053-BFDB20AAE78D}">
  <sheetPr codeName="Hoja11"/>
  <dimension ref="A1:AS847"/>
  <sheetViews>
    <sheetView workbookViewId="0">
      <selection activeCellId="4" sqref="A5:XFD1048576 C4:XFD4 A2:XFD3 C1:XFD1 A1"/>
    </sheetView>
  </sheetViews>
  <sheetFormatPr baseColWidth="10" defaultRowHeight="14.4" x14ac:dyDescent="0.3"/>
  <sheetData>
    <row r="1" spans="1:29" x14ac:dyDescent="0.3">
      <c r="A1" t="s">
        <v>56</v>
      </c>
      <c r="B1" s="3">
        <v>4500</v>
      </c>
      <c r="D1" s="2" t="s">
        <v>52</v>
      </c>
      <c r="E1" s="2">
        <f>+IF($H$1="Vapor sobrecalentado",E262,IF($H$1="Líquido subenfriado",R39,S9))</f>
        <v>138.86199999999999</v>
      </c>
      <c r="H1" s="5" t="str">
        <f>+IF(B4&lt;AA9,"Líquido subenfriado",IF(B4=AA9,"Líquido saturado",IF(B4&lt;AB9,"Mezcla saturada",IF(B4=AB9,"Vapor saturado","Vapor sobrecalentado"))))</f>
        <v>Líquido subenfriado</v>
      </c>
      <c r="I1" s="5"/>
      <c r="J1" s="5"/>
    </row>
    <row r="2" spans="1:29" x14ac:dyDescent="0.3">
      <c r="D2" s="2" t="s">
        <v>76</v>
      </c>
      <c r="E2" s="2">
        <f>+IF($H$1="Vapor sobrecalentado",E263,IF($H$1="Líquido subenfriado",R40,S25))</f>
        <v>1.0788620000000002</v>
      </c>
    </row>
    <row r="3" spans="1:29" x14ac:dyDescent="0.3">
      <c r="A3" t="s">
        <v>50</v>
      </c>
      <c r="B3" t="s">
        <v>57</v>
      </c>
      <c r="D3" s="2" t="s">
        <v>53</v>
      </c>
      <c r="E3" s="2">
        <f>+IF($H$1="Vapor sobrecalentado",E264,IF($H$1="Líquido subenfriado",R41,S26))</f>
        <v>583.86350000000004</v>
      </c>
    </row>
    <row r="4" spans="1:29" x14ac:dyDescent="0.3">
      <c r="A4" t="s">
        <v>52</v>
      </c>
      <c r="B4" s="3">
        <v>138.86199999999999</v>
      </c>
      <c r="D4" s="2" t="s">
        <v>54</v>
      </c>
      <c r="E4" s="2">
        <f>+IF($H$1="Vapor sobrecalentado",E265,IF($H$1="Líquido subenfriado",R42,S27))</f>
        <v>584.20659999999987</v>
      </c>
      <c r="G4">
        <v>3410.6</v>
      </c>
      <c r="H4">
        <v>2634.6223369658151</v>
      </c>
      <c r="I4">
        <f>0.86*(G4-H4)</f>
        <v>667.34079020939896</v>
      </c>
      <c r="J4">
        <f>+G4-I4</f>
        <v>2743.2592097906008</v>
      </c>
    </row>
    <row r="5" spans="1:29" x14ac:dyDescent="0.3">
      <c r="D5" s="2" t="s">
        <v>55</v>
      </c>
      <c r="E5" s="2">
        <f>+IF($H$1="Vapor sobrecalentado",E266,IF($H$1="Líquido subenfriado",R43,S28))</f>
        <v>1.7271648000000002</v>
      </c>
      <c r="G5">
        <v>6.7993000000000006</v>
      </c>
    </row>
    <row r="6" spans="1:29" x14ac:dyDescent="0.3">
      <c r="D6" s="2" t="s">
        <v>67</v>
      </c>
      <c r="E6" s="2">
        <f>+IF(H1="Líquido subenfriado",0,IF(H1="Vapor sobrecalentado",1,AC9))</f>
        <v>0</v>
      </c>
    </row>
    <row r="8" spans="1:29" x14ac:dyDescent="0.3">
      <c r="D8" s="5" t="s">
        <v>13</v>
      </c>
      <c r="E8" s="5"/>
      <c r="F8" s="5"/>
      <c r="G8" s="5" t="s">
        <v>14</v>
      </c>
      <c r="H8" s="5"/>
      <c r="I8" s="5"/>
      <c r="J8" s="5" t="s">
        <v>15</v>
      </c>
      <c r="K8" s="5"/>
      <c r="L8" s="5"/>
      <c r="M8" s="5" t="s">
        <v>16</v>
      </c>
      <c r="N8" s="5"/>
      <c r="O8" s="5"/>
      <c r="Q8" s="2" t="s">
        <v>1</v>
      </c>
      <c r="R8" s="2" t="s">
        <v>5</v>
      </c>
      <c r="S8" s="4">
        <f>+B1</f>
        <v>4500</v>
      </c>
      <c r="T8">
        <f>+_xlfn.RANK.AVG(S8,C11:C258,1)</f>
        <v>181</v>
      </c>
      <c r="V8" t="s">
        <v>40</v>
      </c>
      <c r="X8" cm="1">
        <f t="array" ref="X8">+INDEX($C$11:$C$257,$T$8-1)</f>
        <v>4396.7</v>
      </c>
      <c r="Y8" cm="1">
        <f t="array" ref="Y8">+INDEX($C$11:$C$257,$T$8)</f>
        <v>4543.7</v>
      </c>
      <c r="AA8" t="s">
        <v>68</v>
      </c>
      <c r="AB8" t="s">
        <v>69</v>
      </c>
      <c r="AC8" t="s">
        <v>67</v>
      </c>
    </row>
    <row r="9" spans="1:29" x14ac:dyDescent="0.3">
      <c r="A9" t="s">
        <v>8</v>
      </c>
      <c r="B9" t="s">
        <v>2</v>
      </c>
      <c r="C9" t="s">
        <v>1</v>
      </c>
      <c r="D9" t="s">
        <v>9</v>
      </c>
      <c r="F9" t="s">
        <v>10</v>
      </c>
      <c r="G9" t="s">
        <v>9</v>
      </c>
      <c r="I9" t="s">
        <v>10</v>
      </c>
      <c r="J9" t="s">
        <v>9</v>
      </c>
      <c r="L9" t="s">
        <v>10</v>
      </c>
      <c r="M9" t="s">
        <v>9</v>
      </c>
      <c r="O9" t="s">
        <v>10</v>
      </c>
      <c r="Q9" t="s">
        <v>2</v>
      </c>
      <c r="R9" t="s">
        <v>7</v>
      </c>
      <c r="S9" s="2">
        <f>+_xlfn.FORECAST.LINEAR($S$8,X9:Y9,$X$8:$Y$8)</f>
        <v>257.40544217687074</v>
      </c>
      <c r="T9">
        <f>+S9+273.15</f>
        <v>530.55544217687066</v>
      </c>
      <c r="V9" t="s">
        <v>41</v>
      </c>
      <c r="X9" cm="1">
        <f t="array" ref="X9">+INDEX($A$11:$A$257,$T$8-1)</f>
        <v>256</v>
      </c>
      <c r="Y9" cm="1">
        <f t="array" ref="Y9">+INDEX($A$11:$A$257,$T$8)</f>
        <v>258</v>
      </c>
      <c r="AA9">
        <f>+IF($A$4=$D$1,$S$9,IF($A$4=$D$2,$S$10,IF($A$4=$D$3,$S$13,IF($A$4=$D$4,$S$16,$S$19))))</f>
        <v>257.40544217687074</v>
      </c>
      <c r="AB9">
        <f>+IF($A$4=$D$1,$S$9,IF($A$4=$D$2,$S$12,IF($A$4=$D$3,$S$15,IF($A$4=$D$4,$S$18,$S$21))))</f>
        <v>257.40544217687074</v>
      </c>
      <c r="AC9" t="e">
        <f>+(B4-AA9)/(AB9-AA9)</f>
        <v>#DIV/0!</v>
      </c>
    </row>
    <row r="10" spans="1:29" x14ac:dyDescent="0.3">
      <c r="A10" t="s">
        <v>7</v>
      </c>
      <c r="B10" t="s">
        <v>3</v>
      </c>
      <c r="C10" t="s">
        <v>5</v>
      </c>
      <c r="D10" t="s">
        <v>12</v>
      </c>
      <c r="E10" t="s">
        <v>11</v>
      </c>
      <c r="F10" t="s">
        <v>12</v>
      </c>
      <c r="G10" t="s">
        <v>12</v>
      </c>
      <c r="H10" t="s">
        <v>11</v>
      </c>
      <c r="I10" t="s">
        <v>12</v>
      </c>
      <c r="J10" t="s">
        <v>12</v>
      </c>
      <c r="K10" t="s">
        <v>11</v>
      </c>
      <c r="L10" t="s">
        <v>12</v>
      </c>
      <c r="M10" t="s">
        <v>12</v>
      </c>
      <c r="N10" t="s">
        <v>11</v>
      </c>
      <c r="O10" t="s">
        <v>12</v>
      </c>
      <c r="Q10" s="2" t="s">
        <v>25</v>
      </c>
      <c r="R10" s="2" t="s">
        <v>27</v>
      </c>
      <c r="S10" s="2">
        <f>+_xlfn.FORECAST.LINEAR($S$8,X10:Y10,$X$8:$Y$8)</f>
        <v>1.2695136054421767</v>
      </c>
      <c r="T10">
        <f>150/2/S10</f>
        <v>59.077744167914766</v>
      </c>
      <c r="X10" cm="1">
        <f t="array" ref="X10">+INDEX($D$11:$D$257,$T$8-1)</f>
        <v>1.266</v>
      </c>
      <c r="Y10" cm="1">
        <f t="array" ref="Y10">+INDEX($D$11:$D$257,$T$8)</f>
        <v>1.2709999999999999</v>
      </c>
    </row>
    <row r="11" spans="1:29" x14ac:dyDescent="0.3">
      <c r="A11">
        <v>0</v>
      </c>
      <c r="B11">
        <v>273.14999999999998</v>
      </c>
      <c r="C11">
        <v>0.61099999999999999</v>
      </c>
      <c r="D11">
        <v>1</v>
      </c>
      <c r="E11">
        <v>206300</v>
      </c>
      <c r="F11">
        <v>206300</v>
      </c>
      <c r="G11">
        <v>-0.04</v>
      </c>
      <c r="H11">
        <v>2375.6999999999998</v>
      </c>
      <c r="I11">
        <v>2375.6</v>
      </c>
      <c r="J11">
        <v>-0.04</v>
      </c>
      <c r="K11">
        <v>2501.6999999999998</v>
      </c>
      <c r="L11">
        <v>2501.6</v>
      </c>
      <c r="M11">
        <v>0</v>
      </c>
      <c r="N11">
        <v>9.1577999999999999</v>
      </c>
      <c r="O11">
        <v>9.1577999999999999</v>
      </c>
      <c r="Q11" s="2" t="s">
        <v>26</v>
      </c>
      <c r="R11" s="2" t="s">
        <v>27</v>
      </c>
      <c r="S11" s="2">
        <f>+_xlfn.FORECAST.LINEAR($S$8,X11:Y11,$X$8:$Y$8)</f>
        <v>42.781863945578237</v>
      </c>
      <c r="X11" cm="1">
        <f t="array" ref="X11">+INDEX($E$11:$E$257,$T$8-1)</f>
        <v>43.85</v>
      </c>
      <c r="Y11" cm="1">
        <f t="array" ref="Y11">+INDEX($E$11:$E$257,$T$8)</f>
        <v>42.33</v>
      </c>
    </row>
    <row r="12" spans="1:29" x14ac:dyDescent="0.3">
      <c r="A12">
        <v>0.01</v>
      </c>
      <c r="B12">
        <v>273.16000000000003</v>
      </c>
      <c r="C12">
        <v>0.61099999999999999</v>
      </c>
      <c r="D12">
        <v>1</v>
      </c>
      <c r="E12">
        <v>206200</v>
      </c>
      <c r="F12">
        <v>206200</v>
      </c>
      <c r="G12">
        <v>0</v>
      </c>
      <c r="H12">
        <v>2375.6</v>
      </c>
      <c r="I12">
        <v>2375.6</v>
      </c>
      <c r="J12">
        <v>0</v>
      </c>
      <c r="K12">
        <v>2501.6</v>
      </c>
      <c r="L12">
        <v>2501.6</v>
      </c>
      <c r="M12">
        <v>0</v>
      </c>
      <c r="N12">
        <v>9.1575000000000006</v>
      </c>
      <c r="O12">
        <v>9.1575000000000006</v>
      </c>
      <c r="Q12" s="2" t="s">
        <v>28</v>
      </c>
      <c r="R12" s="2" t="s">
        <v>27</v>
      </c>
      <c r="S12" s="2">
        <f>+_xlfn.FORECAST.LINEAR($S$8,X12:Y12,$X$8:$Y$8)</f>
        <v>44.048891156462595</v>
      </c>
      <c r="T12">
        <f>150/2/S12</f>
        <v>1.7026535295428529</v>
      </c>
      <c r="X12" cm="1">
        <f t="array" ref="X12">+INDEX($F$11:$F$257,$T$8-1)</f>
        <v>45.11</v>
      </c>
      <c r="Y12" cm="1">
        <f t="array" ref="Y12">+INDEX($F$11:$F$257,$T$8)</f>
        <v>43.6</v>
      </c>
    </row>
    <row r="13" spans="1:29" x14ac:dyDescent="0.3">
      <c r="A13">
        <v>1</v>
      </c>
      <c r="B13">
        <v>274.14999999999998</v>
      </c>
      <c r="C13">
        <v>0.65700000000000003</v>
      </c>
      <c r="D13">
        <v>1</v>
      </c>
      <c r="E13">
        <v>192600</v>
      </c>
      <c r="F13">
        <v>192600</v>
      </c>
      <c r="G13">
        <v>4.17</v>
      </c>
      <c r="H13">
        <v>2372.6999999999998</v>
      </c>
      <c r="I13">
        <v>2376.9</v>
      </c>
      <c r="J13">
        <v>4.17</v>
      </c>
      <c r="K13">
        <v>2499.1999999999998</v>
      </c>
      <c r="L13">
        <v>2503.4</v>
      </c>
      <c r="M13">
        <v>1.5299999999999999E-2</v>
      </c>
      <c r="N13">
        <v>9.1158000000000001</v>
      </c>
      <c r="O13">
        <v>9.1311</v>
      </c>
      <c r="Q13" s="2" t="s">
        <v>31</v>
      </c>
      <c r="R13" s="2" t="s">
        <v>32</v>
      </c>
      <c r="S13" s="2">
        <f>+_xlfn.FORECAST.LINEAR($S$8,X13:Y13,$X$8:$Y$8)</f>
        <v>1116.416394557823</v>
      </c>
      <c r="T13">
        <f>+T12+T10</f>
        <v>60.780397697457616</v>
      </c>
      <c r="X13" cm="1">
        <f t="array" ref="X13">+INDEX($G$11:$G$257,$T$8-1)</f>
        <v>1109.5999999999999</v>
      </c>
      <c r="Y13" cm="1">
        <f t="array" ref="Y13">+INDEX($G$11:$G$257,$T$8)</f>
        <v>1119.3</v>
      </c>
    </row>
    <row r="14" spans="1:29" x14ac:dyDescent="0.3">
      <c r="A14">
        <v>2</v>
      </c>
      <c r="B14">
        <v>275.14999999999998</v>
      </c>
      <c r="C14">
        <v>0.70499999999999996</v>
      </c>
      <c r="D14">
        <v>1</v>
      </c>
      <c r="E14">
        <v>179900</v>
      </c>
      <c r="F14">
        <v>179900</v>
      </c>
      <c r="G14">
        <v>8.39</v>
      </c>
      <c r="H14">
        <v>2369.9</v>
      </c>
      <c r="I14">
        <v>2378.3000000000002</v>
      </c>
      <c r="J14">
        <v>8.39</v>
      </c>
      <c r="K14">
        <v>2496.8000000000002</v>
      </c>
      <c r="L14">
        <v>2505.1999999999998</v>
      </c>
      <c r="M14">
        <v>3.0599999999999999E-2</v>
      </c>
      <c r="N14">
        <v>9.0740999999999996</v>
      </c>
      <c r="O14">
        <v>9.1046999999999993</v>
      </c>
      <c r="Q14" s="2" t="s">
        <v>30</v>
      </c>
      <c r="R14" s="2" t="s">
        <v>32</v>
      </c>
      <c r="S14" s="2">
        <f t="shared" ref="S14:S21" si="0">+_xlfn.FORECAST.LINEAR($S$8,X14:Y14,$X$8:$Y$8)</f>
        <v>1483.1619727891157</v>
      </c>
      <c r="X14" cm="1">
        <f t="array" ref="X14">+INDEX($H$11:$H$257,$T$8-1)</f>
        <v>1490.4</v>
      </c>
      <c r="Y14" cm="1">
        <f t="array" ref="Y14">+INDEX($H$11:$H$257,$T$8)</f>
        <v>1480.1</v>
      </c>
    </row>
    <row r="15" spans="1:29" x14ac:dyDescent="0.3">
      <c r="A15">
        <v>3</v>
      </c>
      <c r="B15">
        <v>276.14999999999998</v>
      </c>
      <c r="C15">
        <v>0.75700000000000001</v>
      </c>
      <c r="D15">
        <v>1</v>
      </c>
      <c r="E15">
        <v>168200</v>
      </c>
      <c r="F15">
        <v>168200</v>
      </c>
      <c r="G15">
        <v>12.6</v>
      </c>
      <c r="H15">
        <v>2367.1</v>
      </c>
      <c r="I15">
        <v>2379.6999999999998</v>
      </c>
      <c r="J15">
        <v>12.6</v>
      </c>
      <c r="K15">
        <v>2494.5</v>
      </c>
      <c r="L15">
        <v>2507.1</v>
      </c>
      <c r="M15">
        <v>4.5900000000000003E-2</v>
      </c>
      <c r="N15">
        <v>9.0326000000000004</v>
      </c>
      <c r="O15">
        <v>9.0785</v>
      </c>
      <c r="Q15" s="2" t="s">
        <v>29</v>
      </c>
      <c r="R15" s="2" t="s">
        <v>32</v>
      </c>
      <c r="S15" s="2">
        <f t="shared" si="0"/>
        <v>2599.5080952380954</v>
      </c>
      <c r="X15" cm="1">
        <f t="array" ref="X15">+INDEX($I$11:$I$257,$T$8-1)</f>
        <v>2600</v>
      </c>
      <c r="Y15" cm="1">
        <f t="array" ref="Y15">+INDEX($I$11:$I$257,$T$8)</f>
        <v>2599.3000000000002</v>
      </c>
    </row>
    <row r="16" spans="1:29" x14ac:dyDescent="0.3">
      <c r="A16">
        <v>4</v>
      </c>
      <c r="B16">
        <v>277.14999999999998</v>
      </c>
      <c r="C16">
        <v>0.81299999999999994</v>
      </c>
      <c r="D16">
        <v>1</v>
      </c>
      <c r="E16">
        <v>157300</v>
      </c>
      <c r="F16">
        <v>157300</v>
      </c>
      <c r="G16">
        <v>16.8</v>
      </c>
      <c r="H16">
        <v>2364.3000000000002</v>
      </c>
      <c r="I16">
        <v>2381.1</v>
      </c>
      <c r="J16">
        <v>16.8</v>
      </c>
      <c r="K16">
        <v>2492.1</v>
      </c>
      <c r="L16">
        <v>2508.9</v>
      </c>
      <c r="M16">
        <v>6.1100000000000002E-2</v>
      </c>
      <c r="N16">
        <v>8.9915000000000003</v>
      </c>
      <c r="O16">
        <v>9.0526</v>
      </c>
      <c r="Q16" s="2" t="s">
        <v>33</v>
      </c>
      <c r="R16" s="2" t="s">
        <v>32</v>
      </c>
      <c r="S16" s="2">
        <f t="shared" si="0"/>
        <v>1122.0866666666666</v>
      </c>
      <c r="X16" cm="1">
        <f t="array" ref="X16">+INDEX($J$11:$J$257,$T$8-1)</f>
        <v>1115.2</v>
      </c>
      <c r="Y16" cm="1">
        <f t="array" ref="Y16">+INDEX($J$11:$J$257,$T$8)</f>
        <v>1125</v>
      </c>
    </row>
    <row r="17" spans="1:25" x14ac:dyDescent="0.3">
      <c r="A17">
        <v>5</v>
      </c>
      <c r="B17">
        <v>278.14999999999998</v>
      </c>
      <c r="C17">
        <v>0.872</v>
      </c>
      <c r="D17">
        <v>1</v>
      </c>
      <c r="E17">
        <v>147200</v>
      </c>
      <c r="F17">
        <v>147200</v>
      </c>
      <c r="G17">
        <v>21.01</v>
      </c>
      <c r="H17">
        <v>2361.4</v>
      </c>
      <c r="I17">
        <v>2382.4</v>
      </c>
      <c r="J17">
        <v>21.01</v>
      </c>
      <c r="K17">
        <v>2489.6999999999998</v>
      </c>
      <c r="L17">
        <v>2510.6999999999998</v>
      </c>
      <c r="M17">
        <v>7.6200000000000004E-2</v>
      </c>
      <c r="N17">
        <v>8.9506999999999994</v>
      </c>
      <c r="O17">
        <v>9.0268999999999995</v>
      </c>
      <c r="Q17" s="2" t="s">
        <v>34</v>
      </c>
      <c r="R17" s="2" t="s">
        <v>32</v>
      </c>
      <c r="S17" s="2">
        <f t="shared" si="0"/>
        <v>1675.6106122448982</v>
      </c>
      <c r="X17" cm="1">
        <f t="array" ref="X17">+INDEX($K$11:$K$257,$T$8-1)</f>
        <v>1683.2</v>
      </c>
      <c r="Y17" cm="1">
        <f t="array" ref="Y17">+INDEX($K$11:$K$257,$T$8)</f>
        <v>1672.4</v>
      </c>
    </row>
    <row r="18" spans="1:25" x14ac:dyDescent="0.3">
      <c r="A18">
        <v>6</v>
      </c>
      <c r="B18">
        <v>279.14999999999998</v>
      </c>
      <c r="C18">
        <v>0.93500000000000005</v>
      </c>
      <c r="D18">
        <v>1</v>
      </c>
      <c r="E18">
        <v>137800</v>
      </c>
      <c r="F18">
        <v>137800</v>
      </c>
      <c r="G18">
        <v>25.21</v>
      </c>
      <c r="H18">
        <v>2358.6</v>
      </c>
      <c r="I18">
        <v>2383.8000000000002</v>
      </c>
      <c r="J18">
        <v>25.21</v>
      </c>
      <c r="K18">
        <v>2487.4</v>
      </c>
      <c r="L18">
        <v>2512.6</v>
      </c>
      <c r="M18">
        <v>9.1300000000000006E-2</v>
      </c>
      <c r="N18">
        <v>8.9101999999999997</v>
      </c>
      <c r="O18">
        <v>9.0014000000000003</v>
      </c>
      <c r="Q18" s="2" t="s">
        <v>35</v>
      </c>
      <c r="R18" s="2" t="s">
        <v>32</v>
      </c>
      <c r="S18" s="2">
        <f t="shared" si="0"/>
        <v>2797.6675510204086</v>
      </c>
      <c r="U18">
        <f>1-R24</f>
        <v>0</v>
      </c>
      <c r="X18" cm="1">
        <f t="array" ref="X18">+INDEX($L$11:$L$257,$T$8-1)</f>
        <v>2798.3</v>
      </c>
      <c r="Y18" cm="1">
        <f t="array" ref="Y18">+INDEX($L$11:$L$257,$T$8)</f>
        <v>2797.4</v>
      </c>
    </row>
    <row r="19" spans="1:25" x14ac:dyDescent="0.3">
      <c r="A19">
        <v>7</v>
      </c>
      <c r="B19">
        <v>280.14999999999998</v>
      </c>
      <c r="C19">
        <v>1.0009999999999999</v>
      </c>
      <c r="D19">
        <v>1</v>
      </c>
      <c r="E19">
        <v>129100</v>
      </c>
      <c r="F19">
        <v>129100</v>
      </c>
      <c r="G19">
        <v>29.41</v>
      </c>
      <c r="H19">
        <v>2355.8000000000002</v>
      </c>
      <c r="I19">
        <v>2385.1999999999998</v>
      </c>
      <c r="J19">
        <v>29.41</v>
      </c>
      <c r="K19">
        <v>2485</v>
      </c>
      <c r="L19">
        <v>2514.4</v>
      </c>
      <c r="M19">
        <v>0.10630000000000001</v>
      </c>
      <c r="N19">
        <v>8.8698999999999995</v>
      </c>
      <c r="O19">
        <v>8.9762000000000004</v>
      </c>
      <c r="Q19" s="2" t="s">
        <v>36</v>
      </c>
      <c r="R19" s="2" t="s">
        <v>39</v>
      </c>
      <c r="S19" s="2">
        <f t="shared" si="0"/>
        <v>2.8611597959183674</v>
      </c>
      <c r="T19">
        <f>6.5138-S19</f>
        <v>3.6526402040816324</v>
      </c>
      <c r="X19" cm="1">
        <f t="array" ref="X19">+INDEX($M$11:$M$257,$T$8-1)</f>
        <v>2.8483000000000001</v>
      </c>
      <c r="Y19" cm="1">
        <f t="array" ref="Y19">+INDEX($M$11:$M$257,$T$8)</f>
        <v>2.8666</v>
      </c>
    </row>
    <row r="20" spans="1:25" x14ac:dyDescent="0.3">
      <c r="A20">
        <v>8</v>
      </c>
      <c r="B20">
        <v>281.14999999999998</v>
      </c>
      <c r="C20">
        <v>1.0720000000000001</v>
      </c>
      <c r="D20">
        <v>1</v>
      </c>
      <c r="E20">
        <v>121000</v>
      </c>
      <c r="F20">
        <v>121000</v>
      </c>
      <c r="G20">
        <v>33.6</v>
      </c>
      <c r="H20">
        <v>2353</v>
      </c>
      <c r="I20">
        <v>2386.6</v>
      </c>
      <c r="J20">
        <v>33.6</v>
      </c>
      <c r="K20">
        <v>2482.6</v>
      </c>
      <c r="L20">
        <v>2516.1999999999998</v>
      </c>
      <c r="M20">
        <v>0.12130000000000001</v>
      </c>
      <c r="N20">
        <v>8.83</v>
      </c>
      <c r="O20">
        <v>8.9512999999999998</v>
      </c>
      <c r="Q20" s="2" t="s">
        <v>37</v>
      </c>
      <c r="R20" s="2" t="s">
        <v>39</v>
      </c>
      <c r="S20" s="2">
        <f t="shared" si="0"/>
        <v>3.1580021088435375</v>
      </c>
      <c r="U20">
        <f>-T19/T21</f>
        <v>1.1566300712253899</v>
      </c>
      <c r="X20" cm="1">
        <f t="array" ref="X20">+INDEX($N$11:$N$257,$T$8-1)</f>
        <v>3.1806999999999999</v>
      </c>
      <c r="Y20" cm="1">
        <f t="array" ref="Y20">+INDEX($N$11:$N$257,$T$8)</f>
        <v>3.1484000000000001</v>
      </c>
    </row>
    <row r="21" spans="1:25" x14ac:dyDescent="0.3">
      <c r="A21">
        <v>9</v>
      </c>
      <c r="B21">
        <v>282.14999999999998</v>
      </c>
      <c r="C21">
        <v>1.147</v>
      </c>
      <c r="D21">
        <v>1</v>
      </c>
      <c r="E21">
        <v>113400</v>
      </c>
      <c r="F21">
        <v>113400</v>
      </c>
      <c r="G21">
        <v>37.799999999999997</v>
      </c>
      <c r="H21">
        <v>2350.1</v>
      </c>
      <c r="I21">
        <v>2387.9</v>
      </c>
      <c r="J21">
        <v>37.799999999999997</v>
      </c>
      <c r="K21">
        <v>2480.3000000000002</v>
      </c>
      <c r="L21">
        <v>2518.1</v>
      </c>
      <c r="M21">
        <v>0.13619999999999999</v>
      </c>
      <c r="N21">
        <v>8.7903000000000002</v>
      </c>
      <c r="O21">
        <v>8.9265000000000008</v>
      </c>
      <c r="Q21" s="2" t="s">
        <v>38</v>
      </c>
      <c r="R21" s="2" t="s">
        <v>39</v>
      </c>
      <c r="S21" s="2">
        <f t="shared" si="0"/>
        <v>6.0191619047619049</v>
      </c>
      <c r="T21">
        <f>+S19-S21</f>
        <v>-3.1580021088435375</v>
      </c>
      <c r="X21" cm="1">
        <f t="array" ref="X21">+INDEX($O$11:$O$257,$T$8-1)</f>
        <v>6.0289999999999999</v>
      </c>
      <c r="Y21" cm="1">
        <f t="array" ref="Y21">+INDEX($O$11:$O$257,$T$8)</f>
        <v>6.0149999999999997</v>
      </c>
    </row>
    <row r="22" spans="1:25" x14ac:dyDescent="0.3">
      <c r="A22">
        <v>10</v>
      </c>
      <c r="B22">
        <v>283.14999999999998</v>
      </c>
      <c r="C22">
        <v>1.2270000000000001</v>
      </c>
      <c r="D22">
        <v>1</v>
      </c>
      <c r="E22">
        <v>106400</v>
      </c>
      <c r="F22">
        <v>106400</v>
      </c>
      <c r="G22">
        <v>41.99</v>
      </c>
      <c r="H22">
        <v>2347.3000000000002</v>
      </c>
      <c r="I22">
        <v>2389.3000000000002</v>
      </c>
      <c r="J22">
        <v>41.99</v>
      </c>
      <c r="K22">
        <v>2477.9</v>
      </c>
      <c r="L22">
        <v>2519.9</v>
      </c>
      <c r="M22">
        <v>0.151</v>
      </c>
      <c r="N22">
        <v>8.7509999999999994</v>
      </c>
      <c r="O22">
        <v>8.9019999999999992</v>
      </c>
    </row>
    <row r="23" spans="1:25" x14ac:dyDescent="0.3">
      <c r="A23">
        <v>11</v>
      </c>
      <c r="B23">
        <v>284.14999999999998</v>
      </c>
      <c r="C23">
        <v>1.3120000000000001</v>
      </c>
      <c r="D23">
        <v>1</v>
      </c>
      <c r="E23">
        <v>99910</v>
      </c>
      <c r="F23">
        <v>99910</v>
      </c>
      <c r="G23">
        <v>46.18</v>
      </c>
      <c r="H23">
        <v>2344.5</v>
      </c>
      <c r="I23">
        <v>2390.6999999999998</v>
      </c>
      <c r="J23">
        <v>46.19</v>
      </c>
      <c r="K23">
        <v>2475.5</v>
      </c>
      <c r="L23">
        <v>2521.6999999999998</v>
      </c>
      <c r="M23">
        <v>0.1658</v>
      </c>
      <c r="N23">
        <v>8.7119</v>
      </c>
      <c r="O23">
        <v>8.8775999999999993</v>
      </c>
      <c r="R23">
        <f>(V23*0.15*1000-150)/2</f>
        <v>0</v>
      </c>
      <c r="S23">
        <f>1-R24</f>
        <v>0</v>
      </c>
      <c r="T23" t="s">
        <v>45</v>
      </c>
      <c r="U23" t="s">
        <v>46</v>
      </c>
      <c r="V23">
        <f>+R24/S10/(R24/S10+(1-R24)/S12)</f>
        <v>1</v>
      </c>
    </row>
    <row r="24" spans="1:25" x14ac:dyDescent="0.3">
      <c r="A24">
        <v>12</v>
      </c>
      <c r="B24">
        <v>285.14999999999998</v>
      </c>
      <c r="C24">
        <v>1.401</v>
      </c>
      <c r="D24">
        <v>1</v>
      </c>
      <c r="E24">
        <v>93830</v>
      </c>
      <c r="F24">
        <v>93840</v>
      </c>
      <c r="G24">
        <v>50.38</v>
      </c>
      <c r="H24">
        <v>2341.6999999999998</v>
      </c>
      <c r="I24">
        <v>2392.1</v>
      </c>
      <c r="J24">
        <v>50.38</v>
      </c>
      <c r="K24">
        <v>2473.1999999999998</v>
      </c>
      <c r="L24">
        <v>2523.6</v>
      </c>
      <c r="M24">
        <v>0.18049999999999999</v>
      </c>
      <c r="N24">
        <v>8.6730999999999998</v>
      </c>
      <c r="O24">
        <v>8.8536000000000001</v>
      </c>
      <c r="Q24" s="2" t="s">
        <v>70</v>
      </c>
      <c r="R24" s="2">
        <f>1-E6</f>
        <v>1</v>
      </c>
      <c r="S24" s="2" t="s">
        <v>40</v>
      </c>
      <c r="T24" t="s">
        <v>0</v>
      </c>
      <c r="U24" t="s">
        <v>4</v>
      </c>
      <c r="V24" s="3">
        <v>2</v>
      </c>
    </row>
    <row r="25" spans="1:25" x14ac:dyDescent="0.3">
      <c r="A25">
        <v>13</v>
      </c>
      <c r="B25">
        <v>286.14999999999998</v>
      </c>
      <c r="C25">
        <v>1.4970000000000001</v>
      </c>
      <c r="D25">
        <v>1.0009999999999999</v>
      </c>
      <c r="E25">
        <v>88180</v>
      </c>
      <c r="F25">
        <v>88180</v>
      </c>
      <c r="G25">
        <v>54.56</v>
      </c>
      <c r="H25">
        <v>2338.9</v>
      </c>
      <c r="I25">
        <v>2393.4</v>
      </c>
      <c r="J25">
        <v>54.57</v>
      </c>
      <c r="K25">
        <v>2470.8000000000002</v>
      </c>
      <c r="L25">
        <v>2525.4</v>
      </c>
      <c r="M25">
        <v>0.19520000000000001</v>
      </c>
      <c r="N25">
        <v>8.6344999999999992</v>
      </c>
      <c r="O25">
        <v>8.8297000000000008</v>
      </c>
      <c r="Q25" s="2" t="s">
        <v>0</v>
      </c>
      <c r="R25" s="2" t="s">
        <v>27</v>
      </c>
      <c r="S25" s="2">
        <f>+IF(S24="P/P",$R$24*S10+(1-$R$24)*S12,$V$23*S10+(1-$V$23)*S12)</f>
        <v>1.2695136054421767</v>
      </c>
      <c r="T25" t="s">
        <v>42</v>
      </c>
      <c r="U25" t="s">
        <v>43</v>
      </c>
      <c r="V25">
        <f>+V24/S25*1000</f>
        <v>1575.4065111443938</v>
      </c>
    </row>
    <row r="26" spans="1:25" x14ac:dyDescent="0.3">
      <c r="A26">
        <v>14</v>
      </c>
      <c r="B26">
        <v>287.14999999999998</v>
      </c>
      <c r="C26">
        <v>1.597</v>
      </c>
      <c r="D26">
        <v>1.0009999999999999</v>
      </c>
      <c r="E26">
        <v>82900</v>
      </c>
      <c r="F26">
        <v>82900</v>
      </c>
      <c r="G26">
        <v>58.75</v>
      </c>
      <c r="H26">
        <v>2336.1</v>
      </c>
      <c r="I26">
        <v>2394.8000000000002</v>
      </c>
      <c r="J26">
        <v>58.75</v>
      </c>
      <c r="K26">
        <v>2468.5</v>
      </c>
      <c r="L26">
        <v>2527.1999999999998</v>
      </c>
      <c r="M26">
        <v>0.20979999999999999</v>
      </c>
      <c r="N26">
        <v>8.5962999999999994</v>
      </c>
      <c r="O26">
        <v>8.8059999999999992</v>
      </c>
      <c r="Q26" s="2" t="s">
        <v>18</v>
      </c>
      <c r="R26" s="2" t="s">
        <v>32</v>
      </c>
      <c r="S26" s="2">
        <f>+IF(S24="P/P",$R$24*S13+(1-$R$24)*S15,$V$23*S13+(1-$V$23)*S15)</f>
        <v>1116.416394557823</v>
      </c>
      <c r="T26" t="s">
        <v>18</v>
      </c>
      <c r="U26" t="s">
        <v>6</v>
      </c>
      <c r="V26">
        <f>+S26*$V$25</f>
        <v>1758809.6571347429</v>
      </c>
    </row>
    <row r="27" spans="1:25" x14ac:dyDescent="0.3">
      <c r="A27">
        <v>15</v>
      </c>
      <c r="B27">
        <v>288.14999999999998</v>
      </c>
      <c r="C27">
        <v>1.704</v>
      </c>
      <c r="D27">
        <v>1.0009999999999999</v>
      </c>
      <c r="E27">
        <v>77980</v>
      </c>
      <c r="F27">
        <v>77980</v>
      </c>
      <c r="G27">
        <v>62.94</v>
      </c>
      <c r="H27">
        <v>2333.1999999999998</v>
      </c>
      <c r="I27">
        <v>2396.1999999999998</v>
      </c>
      <c r="J27">
        <v>62.94</v>
      </c>
      <c r="K27">
        <v>2466.1</v>
      </c>
      <c r="L27">
        <v>2529.1</v>
      </c>
      <c r="M27">
        <v>0.2243</v>
      </c>
      <c r="N27">
        <v>8.5581999999999994</v>
      </c>
      <c r="O27">
        <v>8.7826000000000004</v>
      </c>
      <c r="Q27" s="2" t="s">
        <v>19</v>
      </c>
      <c r="R27" s="2" t="s">
        <v>32</v>
      </c>
      <c r="S27" s="2">
        <f>+IF(S24="P/P",$R$24*S16+(1-$R$24)*S18,$V$23*S16+(1-$V$23)*S18)</f>
        <v>1122.0866666666666</v>
      </c>
      <c r="T27" t="s">
        <v>19</v>
      </c>
      <c r="U27" t="s">
        <v>6</v>
      </c>
      <c r="V27">
        <f>+S27*$V$25</f>
        <v>1767742.6407349755</v>
      </c>
    </row>
    <row r="28" spans="1:25" x14ac:dyDescent="0.3">
      <c r="A28">
        <v>16</v>
      </c>
      <c r="B28">
        <v>289.14999999999998</v>
      </c>
      <c r="C28">
        <v>1.8169999999999999</v>
      </c>
      <c r="D28">
        <v>1.0009999999999999</v>
      </c>
      <c r="E28">
        <v>73380</v>
      </c>
      <c r="F28">
        <v>73380</v>
      </c>
      <c r="G28">
        <v>67.12</v>
      </c>
      <c r="H28">
        <v>2330.4</v>
      </c>
      <c r="I28">
        <v>2397.6</v>
      </c>
      <c r="J28">
        <v>67.13</v>
      </c>
      <c r="K28">
        <v>2463.8000000000002</v>
      </c>
      <c r="L28">
        <v>2530.9</v>
      </c>
      <c r="M28">
        <v>0.23880000000000001</v>
      </c>
      <c r="N28">
        <v>8.5205000000000002</v>
      </c>
      <c r="O28">
        <v>8.7592999999999996</v>
      </c>
      <c r="Q28" s="2" t="s">
        <v>20</v>
      </c>
      <c r="R28" s="2" t="s">
        <v>39</v>
      </c>
      <c r="S28" s="2">
        <f>+IF(S24="P/P",$R$24*S19+(1-$R$24)*S21,$V$23*S19+(1-$V$23)*S21)</f>
        <v>2.8611597959183674</v>
      </c>
      <c r="T28" t="s">
        <v>20</v>
      </c>
      <c r="U28" t="s">
        <v>44</v>
      </c>
      <c r="V28">
        <f>+S28*$V$25</f>
        <v>4507.489771914361</v>
      </c>
    </row>
    <row r="29" spans="1:25" x14ac:dyDescent="0.3">
      <c r="A29">
        <v>17</v>
      </c>
      <c r="B29">
        <v>290.14999999999998</v>
      </c>
      <c r="C29">
        <v>1.9359999999999999</v>
      </c>
      <c r="D29">
        <v>1.0009999999999999</v>
      </c>
      <c r="E29">
        <v>69090</v>
      </c>
      <c r="F29">
        <v>69090</v>
      </c>
      <c r="G29">
        <v>71.31</v>
      </c>
      <c r="H29">
        <v>2327.6</v>
      </c>
      <c r="I29">
        <v>2398.9</v>
      </c>
      <c r="J29">
        <v>71.31</v>
      </c>
      <c r="K29">
        <v>2461.4</v>
      </c>
      <c r="L29">
        <v>2532.6999999999998</v>
      </c>
      <c r="M29">
        <v>0.25330000000000003</v>
      </c>
      <c r="N29">
        <v>8.4830000000000005</v>
      </c>
      <c r="O29">
        <v>8.7363</v>
      </c>
      <c r="Q29" t="s">
        <v>47</v>
      </c>
    </row>
    <row r="30" spans="1:25" x14ac:dyDescent="0.3">
      <c r="A30">
        <v>18</v>
      </c>
      <c r="B30">
        <v>291.14999999999998</v>
      </c>
      <c r="C30">
        <v>2.0619999999999998</v>
      </c>
      <c r="D30">
        <v>1.0009999999999999</v>
      </c>
      <c r="E30">
        <v>65090</v>
      </c>
      <c r="F30">
        <v>65090</v>
      </c>
      <c r="G30">
        <v>75.489999999999995</v>
      </c>
      <c r="H30">
        <v>2324.8000000000002</v>
      </c>
      <c r="I30">
        <v>2400.3000000000002</v>
      </c>
      <c r="J30">
        <v>75.5</v>
      </c>
      <c r="K30">
        <v>2459</v>
      </c>
      <c r="L30">
        <v>2534.5</v>
      </c>
      <c r="M30">
        <v>0.26769999999999999</v>
      </c>
      <c r="N30">
        <v>8.4458000000000002</v>
      </c>
      <c r="O30">
        <v>8.7134999999999998</v>
      </c>
      <c r="T30">
        <f>+(2598.36-S26)*2000/98.33</f>
        <v>30142.24764450681</v>
      </c>
    </row>
    <row r="31" spans="1:25" x14ac:dyDescent="0.3">
      <c r="A31">
        <v>19</v>
      </c>
      <c r="B31">
        <v>292.14999999999998</v>
      </c>
      <c r="C31">
        <v>2.1960000000000002</v>
      </c>
      <c r="D31">
        <v>1.002</v>
      </c>
      <c r="E31">
        <v>61340</v>
      </c>
      <c r="F31">
        <v>61340</v>
      </c>
      <c r="G31">
        <v>79.680000000000007</v>
      </c>
      <c r="H31">
        <v>2322</v>
      </c>
      <c r="I31">
        <v>2401.6999999999998</v>
      </c>
      <c r="J31">
        <v>79.680000000000007</v>
      </c>
      <c r="K31">
        <v>2456.6999999999998</v>
      </c>
      <c r="L31">
        <v>2536.4</v>
      </c>
      <c r="M31">
        <v>0.28199999999999997</v>
      </c>
      <c r="N31">
        <v>8.4087999999999994</v>
      </c>
      <c r="O31">
        <v>8.6907999999999994</v>
      </c>
    </row>
    <row r="32" spans="1:25" x14ac:dyDescent="0.3">
      <c r="A32">
        <v>20</v>
      </c>
      <c r="B32">
        <v>293.14999999999998</v>
      </c>
      <c r="C32">
        <v>2.3370000000000002</v>
      </c>
      <c r="D32">
        <v>1.002</v>
      </c>
      <c r="E32">
        <v>57840</v>
      </c>
      <c r="F32">
        <v>57840</v>
      </c>
      <c r="G32">
        <v>83.86</v>
      </c>
      <c r="H32">
        <v>2319.1999999999998</v>
      </c>
      <c r="I32">
        <v>2403</v>
      </c>
      <c r="J32">
        <v>83.86</v>
      </c>
      <c r="K32">
        <v>2454.3000000000002</v>
      </c>
      <c r="L32">
        <v>2538.1999999999998</v>
      </c>
      <c r="M32">
        <v>0.29630000000000001</v>
      </c>
      <c r="N32">
        <v>8.3720999999999997</v>
      </c>
      <c r="O32">
        <v>8.6684000000000001</v>
      </c>
    </row>
    <row r="33" spans="1:23" x14ac:dyDescent="0.3">
      <c r="A33">
        <v>21</v>
      </c>
      <c r="B33">
        <v>294.14999999999998</v>
      </c>
      <c r="C33">
        <v>2.4849999999999999</v>
      </c>
      <c r="D33">
        <v>1.002</v>
      </c>
      <c r="E33">
        <v>54560</v>
      </c>
      <c r="F33">
        <v>54560</v>
      </c>
      <c r="G33">
        <v>88.04</v>
      </c>
      <c r="H33">
        <v>2316.4</v>
      </c>
      <c r="I33">
        <v>2404.4</v>
      </c>
      <c r="J33">
        <v>88.04</v>
      </c>
      <c r="K33">
        <v>2452</v>
      </c>
      <c r="L33">
        <v>2540</v>
      </c>
      <c r="M33">
        <v>0.3105</v>
      </c>
      <c r="N33">
        <v>8.3355999999999995</v>
      </c>
      <c r="O33">
        <v>8.6462000000000003</v>
      </c>
      <c r="Q33" t="s">
        <v>50</v>
      </c>
      <c r="R33" t="s">
        <v>2</v>
      </c>
      <c r="S33" t="s">
        <v>0</v>
      </c>
      <c r="T33" t="s">
        <v>18</v>
      </c>
      <c r="U33" t="s">
        <v>19</v>
      </c>
      <c r="V33" t="s">
        <v>20</v>
      </c>
      <c r="W33" t="s">
        <v>74</v>
      </c>
    </row>
    <row r="34" spans="1:23" x14ac:dyDescent="0.3">
      <c r="A34">
        <v>22</v>
      </c>
      <c r="B34">
        <v>295.14999999999998</v>
      </c>
      <c r="C34">
        <v>2.6419999999999999</v>
      </c>
      <c r="D34">
        <v>1.002</v>
      </c>
      <c r="E34">
        <v>51490</v>
      </c>
      <c r="F34">
        <v>51490</v>
      </c>
      <c r="G34">
        <v>92.22</v>
      </c>
      <c r="H34">
        <v>2313.6</v>
      </c>
      <c r="I34">
        <v>2405.8000000000002</v>
      </c>
      <c r="J34">
        <v>92.23</v>
      </c>
      <c r="K34">
        <v>2449.6</v>
      </c>
      <c r="L34">
        <v>2541.8000000000002</v>
      </c>
      <c r="M34">
        <v>0.32469999999999999</v>
      </c>
      <c r="N34">
        <v>8.2994000000000003</v>
      </c>
      <c r="O34">
        <v>8.6241000000000003</v>
      </c>
      <c r="Q34" t="s">
        <v>73</v>
      </c>
      <c r="R34">
        <f>+_xlfn.RANK.EQ($B$4,A11:A259,1)</f>
        <v>122</v>
      </c>
      <c r="S34">
        <f>+_xlfn.RANK.EQ($B$4,D11:D259,1)</f>
        <v>248</v>
      </c>
      <c r="T34">
        <f>+_xlfn.RANK.EQ($B$4,G11:G259,1)</f>
        <v>36</v>
      </c>
      <c r="U34">
        <f>+_xlfn.RANK.EQ($B$4,J11:J259,1)</f>
        <v>36</v>
      </c>
      <c r="V34">
        <f>+_xlfn.RANK.EQ($B$4,M11:M259,1)</f>
        <v>248</v>
      </c>
      <c r="W34">
        <f>+HLOOKUP(MID(A4,1,1),R33:V34,2,0)</f>
        <v>122</v>
      </c>
    </row>
    <row r="35" spans="1:23" x14ac:dyDescent="0.3">
      <c r="A35">
        <v>23</v>
      </c>
      <c r="B35">
        <v>296.14999999999998</v>
      </c>
      <c r="C35">
        <v>2.8079999999999998</v>
      </c>
      <c r="D35">
        <v>1.002</v>
      </c>
      <c r="E35">
        <v>48620</v>
      </c>
      <c r="F35">
        <v>48620</v>
      </c>
      <c r="G35">
        <v>96.4</v>
      </c>
      <c r="H35">
        <v>2310.6999999999998</v>
      </c>
      <c r="I35">
        <v>2407.1</v>
      </c>
      <c r="J35">
        <v>96.41</v>
      </c>
      <c r="K35">
        <v>2447.1999999999998</v>
      </c>
      <c r="L35">
        <v>2543.6</v>
      </c>
      <c r="M35">
        <v>0.33889999999999998</v>
      </c>
      <c r="N35">
        <v>8.2634000000000007</v>
      </c>
      <c r="O35">
        <v>8.6022999999999996</v>
      </c>
      <c r="Q35" t="s">
        <v>71</v>
      </c>
      <c r="R35">
        <f>+SMALL(A11:A257,$W$34-1)</f>
        <v>138</v>
      </c>
      <c r="S35">
        <f>+SMALL(D11:D257,$W$34-1)</f>
        <v>1.0780000000000001</v>
      </c>
      <c r="T35">
        <f>+SMALL(G11:G257,$W$34-1)</f>
        <v>580.20000000000005</v>
      </c>
      <c r="U35">
        <f>+SMALL(J11:J257,$W$34-1)</f>
        <v>580.5</v>
      </c>
      <c r="V35">
        <f>+SMALL(M11:M257,$W$34-1)</f>
        <v>1.7181999999999999</v>
      </c>
      <c r="W35">
        <f>+HLOOKUP(MID(A4,1,1),R33:V35,3,0)</f>
        <v>138</v>
      </c>
    </row>
    <row r="36" spans="1:23" x14ac:dyDescent="0.3">
      <c r="A36">
        <v>24</v>
      </c>
      <c r="B36">
        <v>297.14999999999998</v>
      </c>
      <c r="C36">
        <v>2.9820000000000002</v>
      </c>
      <c r="D36">
        <v>1.0029999999999999</v>
      </c>
      <c r="E36">
        <v>45920</v>
      </c>
      <c r="F36">
        <v>45930</v>
      </c>
      <c r="G36">
        <v>100.6</v>
      </c>
      <c r="H36">
        <v>2307.9</v>
      </c>
      <c r="I36">
        <v>2408.5</v>
      </c>
      <c r="J36">
        <v>100.6</v>
      </c>
      <c r="K36">
        <v>2444.9</v>
      </c>
      <c r="L36">
        <v>2545.5</v>
      </c>
      <c r="M36">
        <v>0.35299999999999998</v>
      </c>
      <c r="N36">
        <v>8.2277000000000005</v>
      </c>
      <c r="O36">
        <v>8.5806000000000004</v>
      </c>
      <c r="Q36" t="s">
        <v>72</v>
      </c>
      <c r="R36">
        <f>+SMALL(A11:A257,$W$34)</f>
        <v>140</v>
      </c>
      <c r="S36">
        <f>+SMALL(D11:D257,$W$34)</f>
        <v>1.08</v>
      </c>
      <c r="T36">
        <f>+SMALL(G11:G257,$W$34)</f>
        <v>588.70000000000005</v>
      </c>
      <c r="U36">
        <f>+SMALL(J11:J257,$W$34)</f>
        <v>589.1</v>
      </c>
      <c r="V36">
        <f>+SMALL(M11:M257,$W$34)</f>
        <v>1.7390000000000001</v>
      </c>
      <c r="W36">
        <f>+HLOOKUP(MID(A4,1,1),R33:V36,4,0)</f>
        <v>140</v>
      </c>
    </row>
    <row r="37" spans="1:23" x14ac:dyDescent="0.3">
      <c r="A37">
        <v>25</v>
      </c>
      <c r="B37">
        <v>298.14999999999998</v>
      </c>
      <c r="C37">
        <v>3.1659999999999999</v>
      </c>
      <c r="D37">
        <v>1.0029999999999999</v>
      </c>
      <c r="E37">
        <v>43400</v>
      </c>
      <c r="F37">
        <v>43400</v>
      </c>
      <c r="G37">
        <v>104.8</v>
      </c>
      <c r="H37">
        <v>2305.1</v>
      </c>
      <c r="I37">
        <v>2409.9</v>
      </c>
      <c r="J37">
        <v>104.8</v>
      </c>
      <c r="K37">
        <v>2442.5</v>
      </c>
      <c r="L37">
        <v>2547.3000000000002</v>
      </c>
      <c r="M37">
        <v>0.36699999999999999</v>
      </c>
      <c r="N37">
        <v>8.1921999999999997</v>
      </c>
      <c r="O37">
        <v>8.5592000000000006</v>
      </c>
      <c r="Q37" t="s">
        <v>75</v>
      </c>
      <c r="R37">
        <f t="shared" ref="R37:W37" si="1">+_xlfn.FORECAST.LINEAR($B$4,R35:R36,$W$35:$W$36)</f>
        <v>138.86199999999999</v>
      </c>
      <c r="S37">
        <f t="shared" si="1"/>
        <v>1.0788620000000002</v>
      </c>
      <c r="T37">
        <f t="shared" si="1"/>
        <v>583.86350000000004</v>
      </c>
      <c r="U37">
        <f t="shared" si="1"/>
        <v>584.20659999999987</v>
      </c>
      <c r="V37">
        <f t="shared" si="1"/>
        <v>1.7271648000000002</v>
      </c>
      <c r="W37">
        <f t="shared" si="1"/>
        <v>138.86199999999999</v>
      </c>
    </row>
    <row r="38" spans="1:23" x14ac:dyDescent="0.3">
      <c r="A38">
        <v>26</v>
      </c>
      <c r="B38">
        <v>299.14999999999998</v>
      </c>
      <c r="C38">
        <v>3.36</v>
      </c>
      <c r="D38">
        <v>1.0029999999999999</v>
      </c>
      <c r="E38">
        <v>41030</v>
      </c>
      <c r="F38">
        <v>41030</v>
      </c>
      <c r="G38">
        <v>108.9</v>
      </c>
      <c r="H38">
        <v>2302.3000000000002</v>
      </c>
      <c r="I38">
        <v>2411.1999999999998</v>
      </c>
      <c r="J38">
        <v>108.9</v>
      </c>
      <c r="K38">
        <v>2440.1999999999998</v>
      </c>
      <c r="L38">
        <v>2549.1</v>
      </c>
      <c r="M38">
        <v>0.38100000000000001</v>
      </c>
      <c r="N38">
        <v>8.1569000000000003</v>
      </c>
      <c r="O38">
        <v>8.5379000000000005</v>
      </c>
    </row>
    <row r="39" spans="1:23" x14ac:dyDescent="0.3">
      <c r="A39">
        <v>27</v>
      </c>
      <c r="B39">
        <v>300.14999999999998</v>
      </c>
      <c r="C39">
        <v>3.5640000000000001</v>
      </c>
      <c r="D39">
        <v>1.0029999999999999</v>
      </c>
      <c r="E39">
        <v>38810</v>
      </c>
      <c r="F39">
        <v>38810</v>
      </c>
      <c r="G39">
        <v>113.1</v>
      </c>
      <c r="H39">
        <v>2299.5</v>
      </c>
      <c r="I39">
        <v>2412.6</v>
      </c>
      <c r="J39">
        <v>113.1</v>
      </c>
      <c r="K39">
        <v>2437.8000000000002</v>
      </c>
      <c r="L39">
        <v>2550.9</v>
      </c>
      <c r="M39">
        <v>0.39489999999999997</v>
      </c>
      <c r="N39">
        <v>8.1218000000000004</v>
      </c>
      <c r="O39">
        <v>8.5167999999999999</v>
      </c>
      <c r="Q39" s="2" t="s">
        <v>52</v>
      </c>
      <c r="R39">
        <f t="array" ref="R39:R43">+TRANSPOSE(R37:V37)</f>
        <v>138.86199999999999</v>
      </c>
    </row>
    <row r="40" spans="1:23" x14ac:dyDescent="0.3">
      <c r="A40">
        <v>28</v>
      </c>
      <c r="B40">
        <v>301.14999999999998</v>
      </c>
      <c r="C40">
        <v>3.778</v>
      </c>
      <c r="D40">
        <v>1.004</v>
      </c>
      <c r="E40">
        <v>36730</v>
      </c>
      <c r="F40">
        <v>36730</v>
      </c>
      <c r="G40">
        <v>117.3</v>
      </c>
      <c r="H40">
        <v>2296.6999999999998</v>
      </c>
      <c r="I40">
        <v>2414</v>
      </c>
      <c r="J40">
        <v>117.3</v>
      </c>
      <c r="K40">
        <v>2435.4</v>
      </c>
      <c r="L40">
        <v>2552.6999999999998</v>
      </c>
      <c r="M40">
        <v>0.4088</v>
      </c>
      <c r="N40">
        <v>8.0869999999999997</v>
      </c>
      <c r="O40">
        <v>8.4959000000000007</v>
      </c>
      <c r="Q40" s="2" t="s">
        <v>76</v>
      </c>
      <c r="R40">
        <v>1.0788620000000002</v>
      </c>
    </row>
    <row r="41" spans="1:23" x14ac:dyDescent="0.3">
      <c r="A41">
        <v>29</v>
      </c>
      <c r="B41">
        <v>302.14999999999998</v>
      </c>
      <c r="C41">
        <v>4.0039999999999996</v>
      </c>
      <c r="D41">
        <v>1.004</v>
      </c>
      <c r="E41">
        <v>34770</v>
      </c>
      <c r="F41">
        <v>34770</v>
      </c>
      <c r="G41">
        <v>121.5</v>
      </c>
      <c r="H41">
        <v>2293.8000000000002</v>
      </c>
      <c r="I41">
        <v>2415.3000000000002</v>
      </c>
      <c r="J41">
        <v>121.5</v>
      </c>
      <c r="K41">
        <v>2433.1</v>
      </c>
      <c r="L41">
        <v>2554.5</v>
      </c>
      <c r="M41">
        <v>0.42270000000000002</v>
      </c>
      <c r="N41">
        <v>8.0524000000000004</v>
      </c>
      <c r="O41">
        <v>8.4750999999999994</v>
      </c>
      <c r="Q41" s="2" t="s">
        <v>53</v>
      </c>
      <c r="R41">
        <v>583.86350000000004</v>
      </c>
    </row>
    <row r="42" spans="1:23" x14ac:dyDescent="0.3">
      <c r="A42">
        <v>30</v>
      </c>
      <c r="B42">
        <v>303.14999999999998</v>
      </c>
      <c r="C42">
        <v>4.2409999999999997</v>
      </c>
      <c r="D42">
        <v>1.004</v>
      </c>
      <c r="E42">
        <v>32930</v>
      </c>
      <c r="F42">
        <v>32930</v>
      </c>
      <c r="G42">
        <v>125.7</v>
      </c>
      <c r="H42">
        <v>2291</v>
      </c>
      <c r="I42">
        <v>2416.6999999999998</v>
      </c>
      <c r="J42">
        <v>125.7</v>
      </c>
      <c r="K42">
        <v>2430.6999999999998</v>
      </c>
      <c r="L42">
        <v>2556.4</v>
      </c>
      <c r="M42">
        <v>0.4365</v>
      </c>
      <c r="N42">
        <v>8.0180000000000007</v>
      </c>
      <c r="O42">
        <v>8.4545999999999992</v>
      </c>
      <c r="Q42" s="2" t="s">
        <v>54</v>
      </c>
      <c r="R42">
        <v>584.20659999999987</v>
      </c>
    </row>
    <row r="43" spans="1:23" x14ac:dyDescent="0.3">
      <c r="A43">
        <v>31</v>
      </c>
      <c r="B43">
        <v>304.14999999999998</v>
      </c>
      <c r="C43">
        <v>4.4909999999999997</v>
      </c>
      <c r="D43">
        <v>1.0049999999999999</v>
      </c>
      <c r="E43">
        <v>31200</v>
      </c>
      <c r="F43">
        <v>31200</v>
      </c>
      <c r="G43">
        <v>129.80000000000001</v>
      </c>
      <c r="H43">
        <v>2288.1999999999998</v>
      </c>
      <c r="I43">
        <v>2418</v>
      </c>
      <c r="J43">
        <v>129.80000000000001</v>
      </c>
      <c r="K43">
        <v>2428.3000000000002</v>
      </c>
      <c r="L43">
        <v>2558.1999999999998</v>
      </c>
      <c r="M43">
        <v>0.45029999999999998</v>
      </c>
      <c r="N43">
        <v>7.9839000000000002</v>
      </c>
      <c r="O43">
        <v>8.4342000000000006</v>
      </c>
      <c r="Q43" s="2" t="s">
        <v>55</v>
      </c>
      <c r="R43">
        <v>1.7271648000000002</v>
      </c>
    </row>
    <row r="44" spans="1:23" x14ac:dyDescent="0.3">
      <c r="A44">
        <v>32</v>
      </c>
      <c r="B44">
        <v>305.14999999999998</v>
      </c>
      <c r="C44">
        <v>4.7530000000000001</v>
      </c>
      <c r="D44">
        <v>1.0049999999999999</v>
      </c>
      <c r="E44">
        <v>29570</v>
      </c>
      <c r="F44">
        <v>29570</v>
      </c>
      <c r="G44">
        <v>134</v>
      </c>
      <c r="H44">
        <v>2285.4</v>
      </c>
      <c r="I44">
        <v>2419.4</v>
      </c>
      <c r="J44">
        <v>134</v>
      </c>
      <c r="K44">
        <v>2425.9</v>
      </c>
      <c r="L44">
        <v>2560</v>
      </c>
      <c r="M44">
        <v>0.46400000000000002</v>
      </c>
      <c r="N44">
        <v>7.95</v>
      </c>
      <c r="O44">
        <v>8.4139999999999997</v>
      </c>
    </row>
    <row r="45" spans="1:23" x14ac:dyDescent="0.3">
      <c r="A45">
        <v>33</v>
      </c>
      <c r="B45">
        <v>306.14999999999998</v>
      </c>
      <c r="C45">
        <v>5.0289999999999999</v>
      </c>
      <c r="D45">
        <v>1.0049999999999999</v>
      </c>
      <c r="E45">
        <v>28040</v>
      </c>
      <c r="F45">
        <v>28040</v>
      </c>
      <c r="G45">
        <v>138.19999999999999</v>
      </c>
      <c r="H45">
        <v>2282.6</v>
      </c>
      <c r="I45">
        <v>2420.8000000000002</v>
      </c>
      <c r="J45">
        <v>138.19999999999999</v>
      </c>
      <c r="K45">
        <v>2423.6</v>
      </c>
      <c r="L45">
        <v>2561.8000000000002</v>
      </c>
      <c r="M45">
        <v>0.47770000000000001</v>
      </c>
      <c r="N45">
        <v>7.9162999999999997</v>
      </c>
      <c r="O45">
        <v>8.3939000000000004</v>
      </c>
    </row>
    <row r="46" spans="1:23" x14ac:dyDescent="0.3">
      <c r="A46">
        <v>34</v>
      </c>
      <c r="B46">
        <v>307.14999999999998</v>
      </c>
      <c r="C46">
        <v>5.3179999999999996</v>
      </c>
      <c r="D46">
        <v>1.006</v>
      </c>
      <c r="E46">
        <v>26600</v>
      </c>
      <c r="F46">
        <v>26600</v>
      </c>
      <c r="G46">
        <v>142.4</v>
      </c>
      <c r="H46">
        <v>2279.6999999999998</v>
      </c>
      <c r="I46">
        <v>2422.1</v>
      </c>
      <c r="J46">
        <v>142.4</v>
      </c>
      <c r="K46">
        <v>2421.1999999999998</v>
      </c>
      <c r="L46">
        <v>2563.6</v>
      </c>
      <c r="M46">
        <v>0.49130000000000001</v>
      </c>
      <c r="N46">
        <v>7.8827999999999996</v>
      </c>
      <c r="O46">
        <v>8.3740000000000006</v>
      </c>
    </row>
    <row r="47" spans="1:23" x14ac:dyDescent="0.3">
      <c r="A47">
        <v>35</v>
      </c>
      <c r="B47">
        <v>308.14999999999998</v>
      </c>
      <c r="C47">
        <v>5.6219999999999999</v>
      </c>
      <c r="D47">
        <v>1.006</v>
      </c>
      <c r="E47">
        <v>25240</v>
      </c>
      <c r="F47">
        <v>25240</v>
      </c>
      <c r="G47">
        <v>146.6</v>
      </c>
      <c r="H47">
        <v>2276.9</v>
      </c>
      <c r="I47">
        <v>2423.5</v>
      </c>
      <c r="J47">
        <v>146.6</v>
      </c>
      <c r="K47">
        <v>2418.8000000000002</v>
      </c>
      <c r="L47">
        <v>2565.4</v>
      </c>
      <c r="M47">
        <v>0.50490000000000002</v>
      </c>
      <c r="N47">
        <v>7.8494999999999999</v>
      </c>
      <c r="O47">
        <v>8.3543000000000003</v>
      </c>
    </row>
    <row r="48" spans="1:23" x14ac:dyDescent="0.3">
      <c r="A48">
        <v>36</v>
      </c>
      <c r="B48">
        <v>309.14999999999998</v>
      </c>
      <c r="C48">
        <v>5.94</v>
      </c>
      <c r="D48">
        <v>1.006</v>
      </c>
      <c r="E48">
        <v>23970</v>
      </c>
      <c r="F48">
        <v>23970</v>
      </c>
      <c r="G48">
        <v>150.69999999999999</v>
      </c>
      <c r="H48">
        <v>2274.1</v>
      </c>
      <c r="I48">
        <v>2424.8000000000002</v>
      </c>
      <c r="J48">
        <v>150.69999999999999</v>
      </c>
      <c r="K48">
        <v>2416.4</v>
      </c>
      <c r="L48">
        <v>2567.1999999999998</v>
      </c>
      <c r="M48">
        <v>0.51839999999999997</v>
      </c>
      <c r="N48">
        <v>7.8163999999999998</v>
      </c>
      <c r="O48">
        <v>8.3347999999999995</v>
      </c>
    </row>
    <row r="49" spans="1:15" x14ac:dyDescent="0.3">
      <c r="A49">
        <v>37</v>
      </c>
      <c r="B49">
        <v>310.14999999999998</v>
      </c>
      <c r="C49">
        <v>6.274</v>
      </c>
      <c r="D49">
        <v>1.0069999999999999</v>
      </c>
      <c r="E49">
        <v>22760</v>
      </c>
      <c r="F49">
        <v>22760</v>
      </c>
      <c r="G49">
        <v>154.9</v>
      </c>
      <c r="H49">
        <v>2271.3000000000002</v>
      </c>
      <c r="I49">
        <v>2426.1999999999998</v>
      </c>
      <c r="J49">
        <v>154.9</v>
      </c>
      <c r="K49">
        <v>2414.1</v>
      </c>
      <c r="L49">
        <v>2569</v>
      </c>
      <c r="M49">
        <v>0.53190000000000004</v>
      </c>
      <c r="N49">
        <v>7.7835000000000001</v>
      </c>
      <c r="O49">
        <v>8.3154000000000003</v>
      </c>
    </row>
    <row r="50" spans="1:15" x14ac:dyDescent="0.3">
      <c r="A50">
        <v>38</v>
      </c>
      <c r="B50">
        <v>311.14999999999998</v>
      </c>
      <c r="C50">
        <v>6.6239999999999997</v>
      </c>
      <c r="D50">
        <v>1.0069999999999999</v>
      </c>
      <c r="E50">
        <v>21630</v>
      </c>
      <c r="F50">
        <v>21630</v>
      </c>
      <c r="G50">
        <v>159.1</v>
      </c>
      <c r="H50">
        <v>2268.4</v>
      </c>
      <c r="I50">
        <v>2427.5</v>
      </c>
      <c r="J50">
        <v>159.1</v>
      </c>
      <c r="K50">
        <v>2411.6999999999998</v>
      </c>
      <c r="L50">
        <v>2570.8000000000002</v>
      </c>
      <c r="M50">
        <v>0.54530000000000001</v>
      </c>
      <c r="N50">
        <v>7.7508999999999997</v>
      </c>
      <c r="O50">
        <v>8.2962000000000007</v>
      </c>
    </row>
    <row r="51" spans="1:15" x14ac:dyDescent="0.3">
      <c r="A51">
        <v>39</v>
      </c>
      <c r="B51">
        <v>312.14999999999998</v>
      </c>
      <c r="C51">
        <v>6.9909999999999997</v>
      </c>
      <c r="D51">
        <v>1.0069999999999999</v>
      </c>
      <c r="E51">
        <v>20560</v>
      </c>
      <c r="F51">
        <v>20560</v>
      </c>
      <c r="G51">
        <v>163.30000000000001</v>
      </c>
      <c r="H51">
        <v>2265.6</v>
      </c>
      <c r="I51">
        <v>2428.9</v>
      </c>
      <c r="J51">
        <v>163.30000000000001</v>
      </c>
      <c r="K51">
        <v>2409.3000000000002</v>
      </c>
      <c r="L51">
        <v>2572.6</v>
      </c>
      <c r="M51">
        <v>0.55879999999999996</v>
      </c>
      <c r="N51">
        <v>7.7183999999999999</v>
      </c>
      <c r="O51">
        <v>8.2772000000000006</v>
      </c>
    </row>
    <row r="52" spans="1:15" x14ac:dyDescent="0.3">
      <c r="A52">
        <v>40</v>
      </c>
      <c r="B52">
        <v>313.14999999999998</v>
      </c>
      <c r="C52">
        <v>7.375</v>
      </c>
      <c r="D52">
        <v>1.008</v>
      </c>
      <c r="E52">
        <v>19550</v>
      </c>
      <c r="F52">
        <v>19550</v>
      </c>
      <c r="G52">
        <v>167.4</v>
      </c>
      <c r="H52">
        <v>2262.8000000000002</v>
      </c>
      <c r="I52">
        <v>2430.1999999999998</v>
      </c>
      <c r="J52">
        <v>167.5</v>
      </c>
      <c r="K52">
        <v>2406.9</v>
      </c>
      <c r="L52">
        <v>2574.4</v>
      </c>
      <c r="M52">
        <v>0.57210000000000005</v>
      </c>
      <c r="N52">
        <v>7.6860999999999997</v>
      </c>
      <c r="O52">
        <v>8.2583000000000002</v>
      </c>
    </row>
    <row r="53" spans="1:15" x14ac:dyDescent="0.3">
      <c r="A53">
        <v>41</v>
      </c>
      <c r="B53">
        <v>314.14999999999998</v>
      </c>
      <c r="C53">
        <v>7.7770000000000001</v>
      </c>
      <c r="D53">
        <v>1.008</v>
      </c>
      <c r="E53">
        <v>18590</v>
      </c>
      <c r="F53">
        <v>18590</v>
      </c>
      <c r="G53">
        <v>171.6</v>
      </c>
      <c r="H53">
        <v>2259.9</v>
      </c>
      <c r="I53">
        <v>2431.6</v>
      </c>
      <c r="J53">
        <v>171.6</v>
      </c>
      <c r="K53">
        <v>2404.5</v>
      </c>
      <c r="L53">
        <v>2576.1999999999998</v>
      </c>
      <c r="M53">
        <v>0.58540000000000003</v>
      </c>
      <c r="N53">
        <v>7.6540999999999997</v>
      </c>
      <c r="O53">
        <v>8.2394999999999996</v>
      </c>
    </row>
    <row r="54" spans="1:15" x14ac:dyDescent="0.3">
      <c r="A54">
        <v>42</v>
      </c>
      <c r="B54">
        <v>315.14999999999998</v>
      </c>
      <c r="C54">
        <v>8.1980000000000004</v>
      </c>
      <c r="D54">
        <v>1.0089999999999999</v>
      </c>
      <c r="E54">
        <v>17690</v>
      </c>
      <c r="F54">
        <v>17690</v>
      </c>
      <c r="G54">
        <v>175.8</v>
      </c>
      <c r="H54">
        <v>2257.1</v>
      </c>
      <c r="I54">
        <v>2432.9</v>
      </c>
      <c r="J54">
        <v>175.8</v>
      </c>
      <c r="K54">
        <v>2402.1</v>
      </c>
      <c r="L54">
        <v>2577.9</v>
      </c>
      <c r="M54">
        <v>0.59870000000000001</v>
      </c>
      <c r="N54">
        <v>7.6222000000000003</v>
      </c>
      <c r="O54">
        <v>8.2209000000000003</v>
      </c>
    </row>
    <row r="55" spans="1:15" x14ac:dyDescent="0.3">
      <c r="A55">
        <v>43</v>
      </c>
      <c r="B55">
        <v>316.14999999999998</v>
      </c>
      <c r="C55">
        <v>8.6389999999999993</v>
      </c>
      <c r="D55">
        <v>1.0089999999999999</v>
      </c>
      <c r="E55">
        <v>16840</v>
      </c>
      <c r="F55">
        <v>16840</v>
      </c>
      <c r="G55">
        <v>180</v>
      </c>
      <c r="H55">
        <v>2254.3000000000002</v>
      </c>
      <c r="I55">
        <v>2434.1999999999998</v>
      </c>
      <c r="J55">
        <v>180</v>
      </c>
      <c r="K55">
        <v>2399.6999999999998</v>
      </c>
      <c r="L55">
        <v>2579.6999999999998</v>
      </c>
      <c r="M55">
        <v>0.61199999999999999</v>
      </c>
      <c r="N55">
        <v>7.5904999999999996</v>
      </c>
      <c r="O55">
        <v>8.2025000000000006</v>
      </c>
    </row>
    <row r="56" spans="1:15" x14ac:dyDescent="0.3">
      <c r="A56">
        <v>44</v>
      </c>
      <c r="B56">
        <v>317.14999999999998</v>
      </c>
      <c r="C56">
        <v>9.1</v>
      </c>
      <c r="D56">
        <v>1.0089999999999999</v>
      </c>
      <c r="E56">
        <v>16040</v>
      </c>
      <c r="F56">
        <v>16040</v>
      </c>
      <c r="G56">
        <v>184.2</v>
      </c>
      <c r="H56">
        <v>2251.4</v>
      </c>
      <c r="I56">
        <v>2435.6</v>
      </c>
      <c r="J56">
        <v>184.2</v>
      </c>
      <c r="K56">
        <v>2397.3000000000002</v>
      </c>
      <c r="L56">
        <v>2581.5</v>
      </c>
      <c r="M56">
        <v>0.62519999999999998</v>
      </c>
      <c r="N56">
        <v>7.5590000000000002</v>
      </c>
      <c r="O56">
        <v>8.1842000000000006</v>
      </c>
    </row>
    <row r="57" spans="1:15" x14ac:dyDescent="0.3">
      <c r="A57">
        <v>45</v>
      </c>
      <c r="B57">
        <v>318.14999999999998</v>
      </c>
      <c r="C57">
        <v>9.5820000000000007</v>
      </c>
      <c r="D57">
        <v>1.01</v>
      </c>
      <c r="E57">
        <v>15280</v>
      </c>
      <c r="F57">
        <v>15280</v>
      </c>
      <c r="G57">
        <v>188.3</v>
      </c>
      <c r="H57">
        <v>2248.6</v>
      </c>
      <c r="I57">
        <v>2436.9</v>
      </c>
      <c r="J57">
        <v>188.4</v>
      </c>
      <c r="K57">
        <v>2394.9</v>
      </c>
      <c r="L57">
        <v>2583.3000000000002</v>
      </c>
      <c r="M57">
        <v>0.63829999999999998</v>
      </c>
      <c r="N57">
        <v>7.5277000000000003</v>
      </c>
      <c r="O57">
        <v>8.1661000000000001</v>
      </c>
    </row>
    <row r="58" spans="1:15" x14ac:dyDescent="0.3">
      <c r="A58">
        <v>46</v>
      </c>
      <c r="B58">
        <v>319.14999999999998</v>
      </c>
      <c r="C58">
        <v>10.09</v>
      </c>
      <c r="D58">
        <v>1.01</v>
      </c>
      <c r="E58">
        <v>14560</v>
      </c>
      <c r="F58">
        <v>14560</v>
      </c>
      <c r="G58">
        <v>192.5</v>
      </c>
      <c r="H58">
        <v>2245.6999999999998</v>
      </c>
      <c r="I58">
        <v>2438.3000000000002</v>
      </c>
      <c r="J58">
        <v>192.5</v>
      </c>
      <c r="K58">
        <v>2392.5</v>
      </c>
      <c r="L58">
        <v>2585.1</v>
      </c>
      <c r="M58">
        <v>0.65139999999999998</v>
      </c>
      <c r="N58">
        <v>7.4965999999999999</v>
      </c>
      <c r="O58">
        <v>8.1480999999999995</v>
      </c>
    </row>
    <row r="59" spans="1:15" x14ac:dyDescent="0.3">
      <c r="A59">
        <v>47</v>
      </c>
      <c r="B59">
        <v>320.14999999999998</v>
      </c>
      <c r="C59">
        <v>10.61</v>
      </c>
      <c r="D59">
        <v>1.0109999999999999</v>
      </c>
      <c r="E59">
        <v>13880</v>
      </c>
      <c r="F59">
        <v>13880</v>
      </c>
      <c r="G59">
        <v>196.7</v>
      </c>
      <c r="H59">
        <v>2242.9</v>
      </c>
      <c r="I59">
        <v>2439.6</v>
      </c>
      <c r="J59">
        <v>196.7</v>
      </c>
      <c r="K59">
        <v>2390.1</v>
      </c>
      <c r="L59">
        <v>2586.9</v>
      </c>
      <c r="M59">
        <v>0.66449999999999998</v>
      </c>
      <c r="N59">
        <v>7.4657</v>
      </c>
      <c r="O59">
        <v>8.1302000000000003</v>
      </c>
    </row>
    <row r="60" spans="1:15" x14ac:dyDescent="0.3">
      <c r="A60">
        <v>48</v>
      </c>
      <c r="B60">
        <v>321.14999999999998</v>
      </c>
      <c r="C60">
        <v>11.16</v>
      </c>
      <c r="D60">
        <v>1.0109999999999999</v>
      </c>
      <c r="E60">
        <v>13230</v>
      </c>
      <c r="F60">
        <v>13230</v>
      </c>
      <c r="G60">
        <v>200.9</v>
      </c>
      <c r="H60">
        <v>2240</v>
      </c>
      <c r="I60">
        <v>2440.9</v>
      </c>
      <c r="J60">
        <v>200.9</v>
      </c>
      <c r="K60">
        <v>2387.6999999999998</v>
      </c>
      <c r="L60">
        <v>2588.6</v>
      </c>
      <c r="M60">
        <v>0.67759999999999998</v>
      </c>
      <c r="N60">
        <v>7.4349999999999996</v>
      </c>
      <c r="O60">
        <v>8.1125000000000007</v>
      </c>
    </row>
    <row r="61" spans="1:15" x14ac:dyDescent="0.3">
      <c r="A61">
        <v>49</v>
      </c>
      <c r="B61">
        <v>322.14999999999998</v>
      </c>
      <c r="C61">
        <v>11.74</v>
      </c>
      <c r="D61">
        <v>1.012</v>
      </c>
      <c r="E61">
        <v>12620</v>
      </c>
      <c r="F61">
        <v>12620</v>
      </c>
      <c r="G61">
        <v>205.1</v>
      </c>
      <c r="H61">
        <v>2237.1999999999998</v>
      </c>
      <c r="I61">
        <v>2442.3000000000002</v>
      </c>
      <c r="J61">
        <v>205.1</v>
      </c>
      <c r="K61">
        <v>2385.3000000000002</v>
      </c>
      <c r="L61">
        <v>2590.4</v>
      </c>
      <c r="M61">
        <v>0.69059999999999999</v>
      </c>
      <c r="N61">
        <v>7.4043999999999999</v>
      </c>
      <c r="O61">
        <v>8.0950000000000006</v>
      </c>
    </row>
    <row r="62" spans="1:15" x14ac:dyDescent="0.3">
      <c r="A62">
        <v>50</v>
      </c>
      <c r="B62">
        <v>323.14999999999998</v>
      </c>
      <c r="C62">
        <v>12.34</v>
      </c>
      <c r="D62">
        <v>1.012</v>
      </c>
      <c r="E62">
        <v>12040</v>
      </c>
      <c r="F62">
        <v>12050</v>
      </c>
      <c r="G62">
        <v>209.2</v>
      </c>
      <c r="H62">
        <v>2234.3000000000002</v>
      </c>
      <c r="I62">
        <v>2443.6</v>
      </c>
      <c r="J62">
        <v>209.3</v>
      </c>
      <c r="K62">
        <v>2382.9</v>
      </c>
      <c r="L62">
        <v>2592.1999999999998</v>
      </c>
      <c r="M62">
        <v>0.70350000000000001</v>
      </c>
      <c r="N62">
        <v>7.3741000000000003</v>
      </c>
      <c r="O62">
        <v>8.0776000000000003</v>
      </c>
    </row>
    <row r="63" spans="1:15" x14ac:dyDescent="0.3">
      <c r="A63">
        <v>51</v>
      </c>
      <c r="B63">
        <v>324.14999999999998</v>
      </c>
      <c r="C63">
        <v>12.96</v>
      </c>
      <c r="D63">
        <v>1.0129999999999999</v>
      </c>
      <c r="E63">
        <v>11500</v>
      </c>
      <c r="F63">
        <v>11500</v>
      </c>
      <c r="G63">
        <v>213.4</v>
      </c>
      <c r="H63">
        <v>2231.5</v>
      </c>
      <c r="I63">
        <v>2444.9</v>
      </c>
      <c r="J63">
        <v>213.4</v>
      </c>
      <c r="K63">
        <v>2380.5</v>
      </c>
      <c r="L63">
        <v>2593.9</v>
      </c>
      <c r="M63">
        <v>0.71640000000000004</v>
      </c>
      <c r="N63">
        <v>7.3438999999999997</v>
      </c>
      <c r="O63">
        <v>8.0602999999999998</v>
      </c>
    </row>
    <row r="64" spans="1:15" x14ac:dyDescent="0.3">
      <c r="A64">
        <v>52</v>
      </c>
      <c r="B64">
        <v>325.14999999999998</v>
      </c>
      <c r="C64">
        <v>13.61</v>
      </c>
      <c r="D64">
        <v>1.0129999999999999</v>
      </c>
      <c r="E64">
        <v>10980</v>
      </c>
      <c r="F64">
        <v>10980</v>
      </c>
      <c r="G64">
        <v>217.6</v>
      </c>
      <c r="H64">
        <v>2228.6</v>
      </c>
      <c r="I64">
        <v>2446.1999999999998</v>
      </c>
      <c r="J64">
        <v>217.6</v>
      </c>
      <c r="K64">
        <v>2378.1</v>
      </c>
      <c r="L64">
        <v>2595.6999999999998</v>
      </c>
      <c r="M64">
        <v>0.72929999999999995</v>
      </c>
      <c r="N64">
        <v>7.3137999999999996</v>
      </c>
      <c r="O64">
        <v>8.0432000000000006</v>
      </c>
    </row>
    <row r="65" spans="1:15" x14ac:dyDescent="0.3">
      <c r="A65">
        <v>53</v>
      </c>
      <c r="B65">
        <v>326.14999999999998</v>
      </c>
      <c r="C65">
        <v>14.29</v>
      </c>
      <c r="D65">
        <v>1.014</v>
      </c>
      <c r="E65">
        <v>10490</v>
      </c>
      <c r="F65">
        <v>10490</v>
      </c>
      <c r="G65">
        <v>221.8</v>
      </c>
      <c r="H65">
        <v>2225.8000000000002</v>
      </c>
      <c r="I65">
        <v>2447.6</v>
      </c>
      <c r="J65">
        <v>221.8</v>
      </c>
      <c r="K65">
        <v>2375.6999999999998</v>
      </c>
      <c r="L65">
        <v>2597.5</v>
      </c>
      <c r="M65">
        <v>0.74219999999999997</v>
      </c>
      <c r="N65">
        <v>7.2839999999999998</v>
      </c>
      <c r="O65">
        <v>8.0261999999999993</v>
      </c>
    </row>
    <row r="66" spans="1:15" x14ac:dyDescent="0.3">
      <c r="A66">
        <v>54</v>
      </c>
      <c r="B66">
        <v>327.14999999999998</v>
      </c>
      <c r="C66">
        <v>15</v>
      </c>
      <c r="D66">
        <v>1.014</v>
      </c>
      <c r="E66">
        <v>10020</v>
      </c>
      <c r="F66">
        <v>10020</v>
      </c>
      <c r="G66">
        <v>226</v>
      </c>
      <c r="H66">
        <v>2222.9</v>
      </c>
      <c r="I66">
        <v>2448.9</v>
      </c>
      <c r="J66">
        <v>226</v>
      </c>
      <c r="K66">
        <v>2373.1999999999998</v>
      </c>
      <c r="L66">
        <v>2599.1999999999998</v>
      </c>
      <c r="M66">
        <v>0.755</v>
      </c>
      <c r="N66">
        <v>7.2542999999999997</v>
      </c>
      <c r="O66">
        <v>8.0092999999999996</v>
      </c>
    </row>
    <row r="67" spans="1:15" x14ac:dyDescent="0.3">
      <c r="A67">
        <v>55</v>
      </c>
      <c r="B67">
        <v>328.15</v>
      </c>
      <c r="C67">
        <v>15.74</v>
      </c>
      <c r="D67">
        <v>1.0149999999999999</v>
      </c>
      <c r="E67">
        <v>9577.9</v>
      </c>
      <c r="F67">
        <v>9578.9</v>
      </c>
      <c r="G67">
        <v>230.2</v>
      </c>
      <c r="H67">
        <v>2220</v>
      </c>
      <c r="I67">
        <v>2450.1999999999998</v>
      </c>
      <c r="J67">
        <v>230.2</v>
      </c>
      <c r="K67">
        <v>2370.8000000000002</v>
      </c>
      <c r="L67">
        <v>2601</v>
      </c>
      <c r="M67">
        <v>0.76770000000000005</v>
      </c>
      <c r="N67">
        <v>7.2248000000000001</v>
      </c>
      <c r="O67">
        <v>7.9924999999999997</v>
      </c>
    </row>
    <row r="68" spans="1:15" x14ac:dyDescent="0.3">
      <c r="A68">
        <v>56</v>
      </c>
      <c r="B68">
        <v>329.15</v>
      </c>
      <c r="C68">
        <v>16.510000000000002</v>
      </c>
      <c r="D68">
        <v>1.0149999999999999</v>
      </c>
      <c r="E68">
        <v>9157.7000000000007</v>
      </c>
      <c r="F68">
        <v>9158.7000000000007</v>
      </c>
      <c r="G68">
        <v>234.3</v>
      </c>
      <c r="H68">
        <v>2217.1999999999998</v>
      </c>
      <c r="I68">
        <v>2451.5</v>
      </c>
      <c r="J68">
        <v>234.4</v>
      </c>
      <c r="K68">
        <v>2368.4</v>
      </c>
      <c r="L68">
        <v>2602.6999999999998</v>
      </c>
      <c r="M68">
        <v>0.78039999999999998</v>
      </c>
      <c r="N68">
        <v>7.1955</v>
      </c>
      <c r="O68">
        <v>7.9759000000000002</v>
      </c>
    </row>
    <row r="69" spans="1:15" x14ac:dyDescent="0.3">
      <c r="A69">
        <v>57</v>
      </c>
      <c r="B69">
        <v>330.15</v>
      </c>
      <c r="C69">
        <v>17.309999999999999</v>
      </c>
      <c r="D69">
        <v>1.016</v>
      </c>
      <c r="E69">
        <v>8758.7000000000007</v>
      </c>
      <c r="F69">
        <v>8759.7999999999993</v>
      </c>
      <c r="G69">
        <v>238.5</v>
      </c>
      <c r="H69">
        <v>2214.3000000000002</v>
      </c>
      <c r="I69">
        <v>2452.8000000000002</v>
      </c>
      <c r="J69">
        <v>238.5</v>
      </c>
      <c r="K69">
        <v>2365.9</v>
      </c>
      <c r="L69">
        <v>2604.5</v>
      </c>
      <c r="M69">
        <v>0.79310000000000003</v>
      </c>
      <c r="N69">
        <v>7.1662999999999997</v>
      </c>
      <c r="O69">
        <v>7.9595000000000002</v>
      </c>
    </row>
    <row r="70" spans="1:15" x14ac:dyDescent="0.3">
      <c r="A70">
        <v>58</v>
      </c>
      <c r="B70">
        <v>331.15</v>
      </c>
      <c r="C70">
        <v>18.149999999999999</v>
      </c>
      <c r="D70">
        <v>1.016</v>
      </c>
      <c r="E70">
        <v>8379.7999999999993</v>
      </c>
      <c r="F70">
        <v>8380.7999999999993</v>
      </c>
      <c r="G70">
        <v>242.7</v>
      </c>
      <c r="H70">
        <v>2211.4</v>
      </c>
      <c r="I70">
        <v>2454.1</v>
      </c>
      <c r="J70">
        <v>242.7</v>
      </c>
      <c r="K70">
        <v>2363.5</v>
      </c>
      <c r="L70">
        <v>2606.1999999999998</v>
      </c>
      <c r="M70">
        <v>0.80579999999999996</v>
      </c>
      <c r="N70">
        <v>7.1372999999999998</v>
      </c>
      <c r="O70">
        <v>7.9431000000000003</v>
      </c>
    </row>
    <row r="71" spans="1:15" x14ac:dyDescent="0.3">
      <c r="A71">
        <v>59</v>
      </c>
      <c r="B71">
        <v>332.15</v>
      </c>
      <c r="C71">
        <v>19.02</v>
      </c>
      <c r="D71">
        <v>1.0169999999999999</v>
      </c>
      <c r="E71">
        <v>8019.7</v>
      </c>
      <c r="F71">
        <v>8020.8</v>
      </c>
      <c r="G71">
        <v>246.9</v>
      </c>
      <c r="H71">
        <v>2208.6</v>
      </c>
      <c r="I71">
        <v>2455.4</v>
      </c>
      <c r="J71">
        <v>246.9</v>
      </c>
      <c r="K71">
        <v>2361.1</v>
      </c>
      <c r="L71">
        <v>2608</v>
      </c>
      <c r="M71">
        <v>0.81840000000000002</v>
      </c>
      <c r="N71">
        <v>7.1085000000000003</v>
      </c>
      <c r="O71">
        <v>7.9268999999999998</v>
      </c>
    </row>
    <row r="72" spans="1:15" x14ac:dyDescent="0.3">
      <c r="A72">
        <v>60</v>
      </c>
      <c r="B72">
        <v>333.15</v>
      </c>
      <c r="C72">
        <v>19.920000000000002</v>
      </c>
      <c r="D72">
        <v>1.0169999999999999</v>
      </c>
      <c r="E72">
        <v>7677.5</v>
      </c>
      <c r="F72">
        <v>7678.5</v>
      </c>
      <c r="G72">
        <v>251.1</v>
      </c>
      <c r="H72">
        <v>2205.6999999999998</v>
      </c>
      <c r="I72">
        <v>2456.8000000000002</v>
      </c>
      <c r="J72">
        <v>251.1</v>
      </c>
      <c r="K72">
        <v>2358.6</v>
      </c>
      <c r="L72">
        <v>2609.6999999999998</v>
      </c>
      <c r="M72">
        <v>0.83099999999999996</v>
      </c>
      <c r="N72">
        <v>7.0797999999999996</v>
      </c>
      <c r="O72">
        <v>7.9108000000000001</v>
      </c>
    </row>
    <row r="73" spans="1:15" x14ac:dyDescent="0.3">
      <c r="A73">
        <v>61</v>
      </c>
      <c r="B73">
        <v>334.15</v>
      </c>
      <c r="C73">
        <v>20.86</v>
      </c>
      <c r="D73">
        <v>1.018</v>
      </c>
      <c r="E73">
        <v>7352.1</v>
      </c>
      <c r="F73">
        <v>7353.2</v>
      </c>
      <c r="G73">
        <v>255.3</v>
      </c>
      <c r="H73">
        <v>2202.8000000000002</v>
      </c>
      <c r="I73">
        <v>2458.1</v>
      </c>
      <c r="J73">
        <v>255.3</v>
      </c>
      <c r="K73">
        <v>2356.1999999999998</v>
      </c>
      <c r="L73">
        <v>2611.4</v>
      </c>
      <c r="M73">
        <v>0.84350000000000003</v>
      </c>
      <c r="N73">
        <v>7.0513000000000003</v>
      </c>
      <c r="O73">
        <v>7.8948</v>
      </c>
    </row>
    <row r="74" spans="1:15" x14ac:dyDescent="0.3">
      <c r="A74">
        <v>62</v>
      </c>
      <c r="B74">
        <v>335.15</v>
      </c>
      <c r="C74">
        <v>21.84</v>
      </c>
      <c r="D74">
        <v>1.018</v>
      </c>
      <c r="E74">
        <v>7042.7</v>
      </c>
      <c r="F74">
        <v>7043.7</v>
      </c>
      <c r="G74">
        <v>259.39999999999998</v>
      </c>
      <c r="H74">
        <v>2199.9</v>
      </c>
      <c r="I74">
        <v>2459.4</v>
      </c>
      <c r="J74">
        <v>259.5</v>
      </c>
      <c r="K74">
        <v>2353.6999999999998</v>
      </c>
      <c r="L74">
        <v>2613.1999999999998</v>
      </c>
      <c r="M74">
        <v>0.85599999999999998</v>
      </c>
      <c r="N74">
        <v>7.0229999999999997</v>
      </c>
      <c r="O74">
        <v>7.8789999999999996</v>
      </c>
    </row>
    <row r="75" spans="1:15" x14ac:dyDescent="0.3">
      <c r="A75">
        <v>63</v>
      </c>
      <c r="B75">
        <v>336.15</v>
      </c>
      <c r="C75">
        <v>22.86</v>
      </c>
      <c r="D75">
        <v>1.0189999999999999</v>
      </c>
      <c r="E75">
        <v>6748.2</v>
      </c>
      <c r="F75">
        <v>6749.3</v>
      </c>
      <c r="G75">
        <v>263.60000000000002</v>
      </c>
      <c r="H75">
        <v>2197</v>
      </c>
      <c r="I75">
        <v>2460.6999999999998</v>
      </c>
      <c r="J75">
        <v>263.60000000000002</v>
      </c>
      <c r="K75">
        <v>2351.3000000000002</v>
      </c>
      <c r="L75">
        <v>2614.9</v>
      </c>
      <c r="M75">
        <v>0.86850000000000005</v>
      </c>
      <c r="N75">
        <v>6.9947999999999997</v>
      </c>
      <c r="O75">
        <v>7.8632999999999997</v>
      </c>
    </row>
    <row r="76" spans="1:15" x14ac:dyDescent="0.3">
      <c r="A76">
        <v>64</v>
      </c>
      <c r="B76">
        <v>337.15</v>
      </c>
      <c r="C76">
        <v>23.91</v>
      </c>
      <c r="D76">
        <v>1.0189999999999999</v>
      </c>
      <c r="E76">
        <v>6468</v>
      </c>
      <c r="F76">
        <v>6469</v>
      </c>
      <c r="G76">
        <v>267.8</v>
      </c>
      <c r="H76">
        <v>2194.1</v>
      </c>
      <c r="I76">
        <v>2462</v>
      </c>
      <c r="J76">
        <v>267.8</v>
      </c>
      <c r="K76">
        <v>2348.8000000000002</v>
      </c>
      <c r="L76">
        <v>2616.6</v>
      </c>
      <c r="M76">
        <v>0.88090000000000002</v>
      </c>
      <c r="N76">
        <v>6.9667000000000003</v>
      </c>
      <c r="O76">
        <v>7.8476999999999997</v>
      </c>
    </row>
    <row r="77" spans="1:15" x14ac:dyDescent="0.3">
      <c r="A77">
        <v>65</v>
      </c>
      <c r="B77">
        <v>338.15</v>
      </c>
      <c r="C77">
        <v>25.01</v>
      </c>
      <c r="D77">
        <v>1.02</v>
      </c>
      <c r="E77">
        <v>6201.3</v>
      </c>
      <c r="F77">
        <v>6202.3</v>
      </c>
      <c r="G77">
        <v>272</v>
      </c>
      <c r="H77">
        <v>2191.1999999999998</v>
      </c>
      <c r="I77">
        <v>2463.1999999999998</v>
      </c>
      <c r="J77">
        <v>272</v>
      </c>
      <c r="K77">
        <v>2346.3000000000002</v>
      </c>
      <c r="L77">
        <v>2618.4</v>
      </c>
      <c r="M77">
        <v>0.89329999999999998</v>
      </c>
      <c r="N77">
        <v>6.9387999999999996</v>
      </c>
      <c r="O77">
        <v>7.8322000000000003</v>
      </c>
    </row>
    <row r="78" spans="1:15" x14ac:dyDescent="0.3">
      <c r="A78">
        <v>66</v>
      </c>
      <c r="B78">
        <v>339.15</v>
      </c>
      <c r="C78">
        <v>26.15</v>
      </c>
      <c r="D78">
        <v>1.02</v>
      </c>
      <c r="E78">
        <v>5947.2</v>
      </c>
      <c r="F78">
        <v>5948.2</v>
      </c>
      <c r="G78">
        <v>276.2</v>
      </c>
      <c r="H78">
        <v>2188.3000000000002</v>
      </c>
      <c r="I78">
        <v>2464.5</v>
      </c>
      <c r="J78">
        <v>276.2</v>
      </c>
      <c r="K78">
        <v>2343.9</v>
      </c>
      <c r="L78">
        <v>2620.1</v>
      </c>
      <c r="M78">
        <v>0.90569999999999995</v>
      </c>
      <c r="N78">
        <v>6.9111000000000002</v>
      </c>
      <c r="O78">
        <v>7.8167999999999997</v>
      </c>
    </row>
    <row r="79" spans="1:15" x14ac:dyDescent="0.3">
      <c r="A79">
        <v>67</v>
      </c>
      <c r="B79">
        <v>340.15</v>
      </c>
      <c r="C79">
        <v>27.33</v>
      </c>
      <c r="D79">
        <v>1.0209999999999999</v>
      </c>
      <c r="E79">
        <v>5705.2</v>
      </c>
      <c r="F79">
        <v>5706.2</v>
      </c>
      <c r="G79">
        <v>280.39999999999998</v>
      </c>
      <c r="H79">
        <v>2185.4</v>
      </c>
      <c r="I79">
        <v>2465.8000000000002</v>
      </c>
      <c r="J79">
        <v>280.39999999999998</v>
      </c>
      <c r="K79">
        <v>2341.4</v>
      </c>
      <c r="L79">
        <v>2621.8</v>
      </c>
      <c r="M79">
        <v>0.91800000000000004</v>
      </c>
      <c r="N79">
        <v>6.8834999999999997</v>
      </c>
      <c r="O79">
        <v>7.8014999999999999</v>
      </c>
    </row>
    <row r="80" spans="1:15" x14ac:dyDescent="0.3">
      <c r="A80">
        <v>68</v>
      </c>
      <c r="B80">
        <v>341.15</v>
      </c>
      <c r="C80">
        <v>28.56</v>
      </c>
      <c r="D80">
        <v>1.022</v>
      </c>
      <c r="E80">
        <v>5474.6</v>
      </c>
      <c r="F80">
        <v>5475.6</v>
      </c>
      <c r="G80">
        <v>284.60000000000002</v>
      </c>
      <c r="H80">
        <v>2182.5</v>
      </c>
      <c r="I80">
        <v>2467.1</v>
      </c>
      <c r="J80">
        <v>284.60000000000002</v>
      </c>
      <c r="K80">
        <v>2338.9</v>
      </c>
      <c r="L80">
        <v>2623.5</v>
      </c>
      <c r="M80">
        <v>0.93030000000000002</v>
      </c>
      <c r="N80">
        <v>6.8560999999999996</v>
      </c>
      <c r="O80">
        <v>7.7864000000000004</v>
      </c>
    </row>
    <row r="81" spans="1:15" x14ac:dyDescent="0.3">
      <c r="A81">
        <v>69</v>
      </c>
      <c r="B81">
        <v>342.15</v>
      </c>
      <c r="C81">
        <v>29.84</v>
      </c>
      <c r="D81">
        <v>1.022</v>
      </c>
      <c r="E81">
        <v>5254.8</v>
      </c>
      <c r="F81">
        <v>5255.8</v>
      </c>
      <c r="G81">
        <v>288.8</v>
      </c>
      <c r="H81">
        <v>2179.6</v>
      </c>
      <c r="I81">
        <v>2468.4</v>
      </c>
      <c r="J81">
        <v>288.8</v>
      </c>
      <c r="K81">
        <v>2336.4</v>
      </c>
      <c r="L81">
        <v>2625.2</v>
      </c>
      <c r="M81">
        <v>0.94259999999999999</v>
      </c>
      <c r="N81">
        <v>6.8288000000000002</v>
      </c>
      <c r="O81">
        <v>7.7713999999999999</v>
      </c>
    </row>
    <row r="82" spans="1:15" x14ac:dyDescent="0.3">
      <c r="A82">
        <v>70</v>
      </c>
      <c r="B82">
        <v>343.15</v>
      </c>
      <c r="C82">
        <v>31.16</v>
      </c>
      <c r="D82">
        <v>1.0229999999999999</v>
      </c>
      <c r="E82">
        <v>5045.2</v>
      </c>
      <c r="F82">
        <v>5046.3</v>
      </c>
      <c r="G82">
        <v>292.89999999999998</v>
      </c>
      <c r="H82">
        <v>2176.6999999999998</v>
      </c>
      <c r="I82">
        <v>2469.6999999999998</v>
      </c>
      <c r="J82">
        <v>293</v>
      </c>
      <c r="K82">
        <v>2334</v>
      </c>
      <c r="L82">
        <v>2626.9</v>
      </c>
      <c r="M82">
        <v>0.95479999999999998</v>
      </c>
      <c r="N82">
        <v>6.8017000000000003</v>
      </c>
      <c r="O82">
        <v>7.7565</v>
      </c>
    </row>
    <row r="83" spans="1:15" x14ac:dyDescent="0.3">
      <c r="A83">
        <v>71</v>
      </c>
      <c r="B83">
        <v>344.15</v>
      </c>
      <c r="C83">
        <v>32.53</v>
      </c>
      <c r="D83">
        <v>1.0229999999999999</v>
      </c>
      <c r="E83">
        <v>4845.3999999999996</v>
      </c>
      <c r="F83">
        <v>4846.3999999999996</v>
      </c>
      <c r="G83">
        <v>297.10000000000002</v>
      </c>
      <c r="H83">
        <v>2173.8000000000002</v>
      </c>
      <c r="I83">
        <v>2470.9</v>
      </c>
      <c r="J83">
        <v>297.2</v>
      </c>
      <c r="K83">
        <v>2331.5</v>
      </c>
      <c r="L83">
        <v>2628.6</v>
      </c>
      <c r="M83">
        <v>0.96699999999999997</v>
      </c>
      <c r="N83">
        <v>6.7747000000000002</v>
      </c>
      <c r="O83">
        <v>7.7416999999999998</v>
      </c>
    </row>
    <row r="84" spans="1:15" x14ac:dyDescent="0.3">
      <c r="A84">
        <v>72</v>
      </c>
      <c r="B84">
        <v>345.15</v>
      </c>
      <c r="C84">
        <v>33.96</v>
      </c>
      <c r="D84">
        <v>1.024</v>
      </c>
      <c r="E84">
        <v>4654.7</v>
      </c>
      <c r="F84">
        <v>4655.7</v>
      </c>
      <c r="G84">
        <v>301.3</v>
      </c>
      <c r="H84">
        <v>2170.9</v>
      </c>
      <c r="I84">
        <v>2472.1999999999998</v>
      </c>
      <c r="J84">
        <v>301.39999999999998</v>
      </c>
      <c r="K84">
        <v>2329</v>
      </c>
      <c r="L84">
        <v>2630.3</v>
      </c>
      <c r="M84">
        <v>0.97919999999999996</v>
      </c>
      <c r="N84">
        <v>6.7477999999999998</v>
      </c>
      <c r="O84">
        <v>7.7270000000000003</v>
      </c>
    </row>
    <row r="85" spans="1:15" x14ac:dyDescent="0.3">
      <c r="A85">
        <v>73</v>
      </c>
      <c r="B85">
        <v>346.15</v>
      </c>
      <c r="C85">
        <v>35.43</v>
      </c>
      <c r="D85">
        <v>1.0249999999999999</v>
      </c>
      <c r="E85">
        <v>4472.7</v>
      </c>
      <c r="F85">
        <v>4473.7</v>
      </c>
      <c r="G85">
        <v>305.5</v>
      </c>
      <c r="H85">
        <v>2168</v>
      </c>
      <c r="I85">
        <v>2473.5</v>
      </c>
      <c r="J85">
        <v>305.5</v>
      </c>
      <c r="K85">
        <v>2326.5</v>
      </c>
      <c r="L85">
        <v>2632</v>
      </c>
      <c r="M85">
        <v>0.99129999999999996</v>
      </c>
      <c r="N85">
        <v>6.7210999999999999</v>
      </c>
      <c r="O85">
        <v>7.7123999999999997</v>
      </c>
    </row>
    <row r="86" spans="1:15" x14ac:dyDescent="0.3">
      <c r="A86">
        <v>74</v>
      </c>
      <c r="B86">
        <v>347.15</v>
      </c>
      <c r="C86">
        <v>36.96</v>
      </c>
      <c r="D86">
        <v>1.0249999999999999</v>
      </c>
      <c r="E86">
        <v>4299</v>
      </c>
      <c r="F86">
        <v>4300</v>
      </c>
      <c r="G86">
        <v>309.7</v>
      </c>
      <c r="H86">
        <v>2165.1</v>
      </c>
      <c r="I86">
        <v>2474.8000000000002</v>
      </c>
      <c r="J86">
        <v>309.7</v>
      </c>
      <c r="K86">
        <v>2324</v>
      </c>
      <c r="L86">
        <v>2633.7</v>
      </c>
      <c r="M86">
        <v>1.0034000000000001</v>
      </c>
      <c r="N86">
        <v>6.6944999999999997</v>
      </c>
      <c r="O86">
        <v>7.6978999999999997</v>
      </c>
    </row>
    <row r="87" spans="1:15" x14ac:dyDescent="0.3">
      <c r="A87">
        <v>75</v>
      </c>
      <c r="B87">
        <v>348.15</v>
      </c>
      <c r="C87">
        <v>38.549999999999997</v>
      </c>
      <c r="D87">
        <v>1.026</v>
      </c>
      <c r="E87">
        <v>4133.1000000000004</v>
      </c>
      <c r="F87">
        <v>4134.1000000000004</v>
      </c>
      <c r="G87">
        <v>313.89999999999998</v>
      </c>
      <c r="H87">
        <v>2162.1</v>
      </c>
      <c r="I87">
        <v>2476</v>
      </c>
      <c r="J87">
        <v>313.89999999999998</v>
      </c>
      <c r="K87">
        <v>2321.5</v>
      </c>
      <c r="L87">
        <v>2635.4</v>
      </c>
      <c r="M87">
        <v>1.0154000000000001</v>
      </c>
      <c r="N87">
        <v>6.6680999999999999</v>
      </c>
      <c r="O87">
        <v>7.6835000000000004</v>
      </c>
    </row>
    <row r="88" spans="1:15" x14ac:dyDescent="0.3">
      <c r="A88">
        <v>76</v>
      </c>
      <c r="B88">
        <v>349.15</v>
      </c>
      <c r="C88">
        <v>40.19</v>
      </c>
      <c r="D88">
        <v>1.0269999999999999</v>
      </c>
      <c r="E88">
        <v>3974.6</v>
      </c>
      <c r="F88">
        <v>3975.7</v>
      </c>
      <c r="G88">
        <v>318.10000000000002</v>
      </c>
      <c r="H88">
        <v>2159.1999999999998</v>
      </c>
      <c r="I88">
        <v>2477.3000000000002</v>
      </c>
      <c r="J88">
        <v>318.10000000000002</v>
      </c>
      <c r="K88">
        <v>2318.9</v>
      </c>
      <c r="L88">
        <v>2637.1</v>
      </c>
      <c r="M88">
        <v>1.0275000000000001</v>
      </c>
      <c r="N88">
        <v>6.6417999999999999</v>
      </c>
      <c r="O88">
        <v>7.6692999999999998</v>
      </c>
    </row>
    <row r="89" spans="1:15" x14ac:dyDescent="0.3">
      <c r="A89">
        <v>77</v>
      </c>
      <c r="B89">
        <v>350.15</v>
      </c>
      <c r="C89">
        <v>41.89</v>
      </c>
      <c r="D89">
        <v>1.0269999999999999</v>
      </c>
      <c r="E89">
        <v>3823.3</v>
      </c>
      <c r="F89">
        <v>3824.3</v>
      </c>
      <c r="G89">
        <v>322.3</v>
      </c>
      <c r="H89">
        <v>2156.3000000000002</v>
      </c>
      <c r="I89">
        <v>2478.5</v>
      </c>
      <c r="J89">
        <v>322.3</v>
      </c>
      <c r="K89">
        <v>2316.4</v>
      </c>
      <c r="L89">
        <v>2638.7</v>
      </c>
      <c r="M89">
        <v>1.0395000000000001</v>
      </c>
      <c r="N89">
        <v>6.6155999999999997</v>
      </c>
      <c r="O89">
        <v>7.6551</v>
      </c>
    </row>
    <row r="90" spans="1:15" x14ac:dyDescent="0.3">
      <c r="A90">
        <v>78</v>
      </c>
      <c r="B90">
        <v>351.15</v>
      </c>
      <c r="C90">
        <v>43.65</v>
      </c>
      <c r="D90">
        <v>1.028</v>
      </c>
      <c r="E90">
        <v>3678.6</v>
      </c>
      <c r="F90">
        <v>3679.6</v>
      </c>
      <c r="G90">
        <v>326.5</v>
      </c>
      <c r="H90">
        <v>2153.3000000000002</v>
      </c>
      <c r="I90">
        <v>2479.8000000000002</v>
      </c>
      <c r="J90">
        <v>326.5</v>
      </c>
      <c r="K90">
        <v>2313.9</v>
      </c>
      <c r="L90">
        <v>2640.4</v>
      </c>
      <c r="M90">
        <v>1.0513999999999999</v>
      </c>
      <c r="N90">
        <v>6.5895999999999999</v>
      </c>
      <c r="O90">
        <v>7.641</v>
      </c>
    </row>
    <row r="91" spans="1:15" x14ac:dyDescent="0.3">
      <c r="A91">
        <v>79</v>
      </c>
      <c r="B91">
        <v>352.15</v>
      </c>
      <c r="C91">
        <v>45.47</v>
      </c>
      <c r="D91">
        <v>1.0289999999999999</v>
      </c>
      <c r="E91">
        <v>3540.3</v>
      </c>
      <c r="F91">
        <v>3541.3</v>
      </c>
      <c r="G91">
        <v>330.7</v>
      </c>
      <c r="H91">
        <v>2150.4</v>
      </c>
      <c r="I91">
        <v>2481.1</v>
      </c>
      <c r="J91">
        <v>330.7</v>
      </c>
      <c r="K91">
        <v>2311.4</v>
      </c>
      <c r="L91">
        <v>2642.1</v>
      </c>
      <c r="M91">
        <v>1.0633999999999999</v>
      </c>
      <c r="N91">
        <v>6.5636999999999999</v>
      </c>
      <c r="O91">
        <v>7.6271000000000004</v>
      </c>
    </row>
    <row r="92" spans="1:15" x14ac:dyDescent="0.3">
      <c r="A92">
        <v>80</v>
      </c>
      <c r="B92">
        <v>353.15</v>
      </c>
      <c r="C92">
        <v>47.36</v>
      </c>
      <c r="D92">
        <v>1.0289999999999999</v>
      </c>
      <c r="E92">
        <v>3408.1</v>
      </c>
      <c r="F92">
        <v>3409.1</v>
      </c>
      <c r="G92">
        <v>334.9</v>
      </c>
      <c r="H92">
        <v>2147.4</v>
      </c>
      <c r="I92">
        <v>2482.3000000000002</v>
      </c>
      <c r="J92">
        <v>334.9</v>
      </c>
      <c r="K92">
        <v>2308.8000000000002</v>
      </c>
      <c r="L92">
        <v>2643.8</v>
      </c>
      <c r="M92">
        <v>1.0752999999999999</v>
      </c>
      <c r="N92">
        <v>6.5380000000000003</v>
      </c>
      <c r="O92">
        <v>7.6132</v>
      </c>
    </row>
    <row r="93" spans="1:15" x14ac:dyDescent="0.3">
      <c r="A93">
        <v>81</v>
      </c>
      <c r="B93">
        <v>354.15</v>
      </c>
      <c r="C93">
        <v>49.31</v>
      </c>
      <c r="D93">
        <v>1.03</v>
      </c>
      <c r="E93">
        <v>3281.6</v>
      </c>
      <c r="F93">
        <v>3282.6</v>
      </c>
      <c r="G93">
        <v>339.1</v>
      </c>
      <c r="H93">
        <v>2144.5</v>
      </c>
      <c r="I93">
        <v>2483.5</v>
      </c>
      <c r="J93">
        <v>339.1</v>
      </c>
      <c r="K93">
        <v>2306.3000000000002</v>
      </c>
      <c r="L93">
        <v>2645.4</v>
      </c>
      <c r="M93">
        <v>1.0871</v>
      </c>
      <c r="N93">
        <v>6.5122999999999998</v>
      </c>
      <c r="O93">
        <v>7.5994999999999999</v>
      </c>
    </row>
    <row r="94" spans="1:15" x14ac:dyDescent="0.3">
      <c r="A94">
        <v>82</v>
      </c>
      <c r="B94">
        <v>355.15</v>
      </c>
      <c r="C94">
        <v>51.33</v>
      </c>
      <c r="D94">
        <v>1.0309999999999999</v>
      </c>
      <c r="E94">
        <v>3160.6</v>
      </c>
      <c r="F94">
        <v>3161.6</v>
      </c>
      <c r="G94">
        <v>343.3</v>
      </c>
      <c r="H94">
        <v>2141.5</v>
      </c>
      <c r="I94">
        <v>2484.8000000000002</v>
      </c>
      <c r="J94">
        <v>343.3</v>
      </c>
      <c r="K94">
        <v>2303.8000000000002</v>
      </c>
      <c r="L94">
        <v>2647.1</v>
      </c>
      <c r="M94">
        <v>1.099</v>
      </c>
      <c r="N94">
        <v>6.4867999999999997</v>
      </c>
      <c r="O94">
        <v>7.5857999999999999</v>
      </c>
    </row>
    <row r="95" spans="1:15" x14ac:dyDescent="0.3">
      <c r="A95">
        <v>83</v>
      </c>
      <c r="B95">
        <v>356.15</v>
      </c>
      <c r="C95">
        <v>53.42</v>
      </c>
      <c r="D95">
        <v>1.0309999999999999</v>
      </c>
      <c r="E95">
        <v>3044.8</v>
      </c>
      <c r="F95">
        <v>3045.8</v>
      </c>
      <c r="G95">
        <v>347.5</v>
      </c>
      <c r="H95">
        <v>2138.6</v>
      </c>
      <c r="I95">
        <v>2486</v>
      </c>
      <c r="J95">
        <v>347.5</v>
      </c>
      <c r="K95">
        <v>2301.1999999999998</v>
      </c>
      <c r="L95">
        <v>2648.7</v>
      </c>
      <c r="M95">
        <v>1.1108</v>
      </c>
      <c r="N95">
        <v>6.4615</v>
      </c>
      <c r="O95">
        <v>7.5721999999999996</v>
      </c>
    </row>
    <row r="96" spans="1:15" x14ac:dyDescent="0.3">
      <c r="A96">
        <v>84</v>
      </c>
      <c r="B96">
        <v>357.15</v>
      </c>
      <c r="C96">
        <v>55.57</v>
      </c>
      <c r="D96">
        <v>1.032</v>
      </c>
      <c r="E96">
        <v>2933.9</v>
      </c>
      <c r="F96">
        <v>2935</v>
      </c>
      <c r="G96">
        <v>351.7</v>
      </c>
      <c r="H96">
        <v>2135.6</v>
      </c>
      <c r="I96">
        <v>2487.3000000000002</v>
      </c>
      <c r="J96">
        <v>351.7</v>
      </c>
      <c r="K96">
        <v>2298.6</v>
      </c>
      <c r="L96">
        <v>2650.4</v>
      </c>
      <c r="M96">
        <v>1.1225000000000001</v>
      </c>
      <c r="N96">
        <v>6.4362000000000004</v>
      </c>
      <c r="O96">
        <v>7.5587</v>
      </c>
    </row>
    <row r="97" spans="1:15" x14ac:dyDescent="0.3">
      <c r="A97">
        <v>85</v>
      </c>
      <c r="B97">
        <v>358.15</v>
      </c>
      <c r="C97">
        <v>57.8</v>
      </c>
      <c r="D97">
        <v>1.0329999999999999</v>
      </c>
      <c r="E97">
        <v>2827.8</v>
      </c>
      <c r="F97">
        <v>2828.8</v>
      </c>
      <c r="G97">
        <v>355.9</v>
      </c>
      <c r="H97">
        <v>2132.6</v>
      </c>
      <c r="I97">
        <v>2488.5</v>
      </c>
      <c r="J97">
        <v>355.9</v>
      </c>
      <c r="K97">
        <v>2296.1</v>
      </c>
      <c r="L97">
        <v>2652</v>
      </c>
      <c r="M97">
        <v>1.1343000000000001</v>
      </c>
      <c r="N97">
        <v>6.4111000000000002</v>
      </c>
      <c r="O97">
        <v>7.5453999999999999</v>
      </c>
    </row>
    <row r="98" spans="1:15" x14ac:dyDescent="0.3">
      <c r="A98">
        <v>86</v>
      </c>
      <c r="B98">
        <v>359.15</v>
      </c>
      <c r="C98">
        <v>60.11</v>
      </c>
      <c r="D98">
        <v>1.0329999999999999</v>
      </c>
      <c r="E98">
        <v>2726.1</v>
      </c>
      <c r="F98">
        <v>2727.2</v>
      </c>
      <c r="G98">
        <v>360.1</v>
      </c>
      <c r="H98">
        <v>2129.6999999999998</v>
      </c>
      <c r="I98">
        <v>2489.6999999999998</v>
      </c>
      <c r="J98">
        <v>360.1</v>
      </c>
      <c r="K98">
        <v>2293.5</v>
      </c>
      <c r="L98">
        <v>2653.6</v>
      </c>
      <c r="M98">
        <v>1.1459999999999999</v>
      </c>
      <c r="N98">
        <v>6.3860999999999999</v>
      </c>
      <c r="O98">
        <v>7.5320999999999998</v>
      </c>
    </row>
    <row r="99" spans="1:15" x14ac:dyDescent="0.3">
      <c r="A99">
        <v>87</v>
      </c>
      <c r="B99">
        <v>360.15</v>
      </c>
      <c r="C99">
        <v>62.49</v>
      </c>
      <c r="D99">
        <v>1.034</v>
      </c>
      <c r="E99">
        <v>2628.8</v>
      </c>
      <c r="F99">
        <v>2629.8</v>
      </c>
      <c r="G99">
        <v>364.3</v>
      </c>
      <c r="H99">
        <v>2126.6999999999998</v>
      </c>
      <c r="I99">
        <v>2490.9</v>
      </c>
      <c r="J99">
        <v>364.3</v>
      </c>
      <c r="K99">
        <v>2290.9</v>
      </c>
      <c r="L99">
        <v>2655.3</v>
      </c>
      <c r="M99">
        <v>1.1577</v>
      </c>
      <c r="N99">
        <v>6.3612000000000002</v>
      </c>
      <c r="O99">
        <v>7.5189000000000004</v>
      </c>
    </row>
    <row r="100" spans="1:15" x14ac:dyDescent="0.3">
      <c r="A100">
        <v>88</v>
      </c>
      <c r="B100">
        <v>361.15</v>
      </c>
      <c r="C100">
        <v>64.95</v>
      </c>
      <c r="D100">
        <v>1.0349999999999999</v>
      </c>
      <c r="E100">
        <v>2535.4</v>
      </c>
      <c r="F100">
        <v>2536.5</v>
      </c>
      <c r="G100">
        <v>368.5</v>
      </c>
      <c r="H100">
        <v>2123.6999999999998</v>
      </c>
      <c r="I100">
        <v>2492.1999999999998</v>
      </c>
      <c r="J100">
        <v>368.5</v>
      </c>
      <c r="K100">
        <v>2288.4</v>
      </c>
      <c r="L100">
        <v>2656.9</v>
      </c>
      <c r="M100">
        <v>1.1693</v>
      </c>
      <c r="N100">
        <v>6.3365</v>
      </c>
      <c r="O100">
        <v>7.5057999999999998</v>
      </c>
    </row>
    <row r="101" spans="1:15" x14ac:dyDescent="0.3">
      <c r="A101">
        <v>89</v>
      </c>
      <c r="B101">
        <v>362.15</v>
      </c>
      <c r="C101">
        <v>67.489999999999995</v>
      </c>
      <c r="D101">
        <v>1.0349999999999999</v>
      </c>
      <c r="E101">
        <v>2446</v>
      </c>
      <c r="F101">
        <v>2447</v>
      </c>
      <c r="G101">
        <v>372.7</v>
      </c>
      <c r="H101">
        <v>2120.6999999999998</v>
      </c>
      <c r="I101">
        <v>2493.4</v>
      </c>
      <c r="J101">
        <v>372.7</v>
      </c>
      <c r="K101">
        <v>2285.8000000000002</v>
      </c>
      <c r="L101">
        <v>2658.5</v>
      </c>
      <c r="M101">
        <v>1.1809000000000001</v>
      </c>
      <c r="N101">
        <v>6.3118999999999996</v>
      </c>
      <c r="O101">
        <v>7.4927999999999999</v>
      </c>
    </row>
    <row r="102" spans="1:15" x14ac:dyDescent="0.3">
      <c r="A102">
        <v>90</v>
      </c>
      <c r="B102">
        <v>363.15</v>
      </c>
      <c r="C102">
        <v>70.11</v>
      </c>
      <c r="D102">
        <v>1.036</v>
      </c>
      <c r="E102">
        <v>2360.3000000000002</v>
      </c>
      <c r="F102">
        <v>2361.3000000000002</v>
      </c>
      <c r="G102">
        <v>376.9</v>
      </c>
      <c r="H102">
        <v>2117.6999999999998</v>
      </c>
      <c r="I102">
        <v>2494.6</v>
      </c>
      <c r="J102">
        <v>376.9</v>
      </c>
      <c r="K102">
        <v>2283.1999999999998</v>
      </c>
      <c r="L102">
        <v>2660.1</v>
      </c>
      <c r="M102">
        <v>1.1924999999999999</v>
      </c>
      <c r="N102">
        <v>6.2873000000000001</v>
      </c>
      <c r="O102">
        <v>7.4798999999999998</v>
      </c>
    </row>
    <row r="103" spans="1:15" x14ac:dyDescent="0.3">
      <c r="A103">
        <v>91</v>
      </c>
      <c r="B103">
        <v>364.15</v>
      </c>
      <c r="C103">
        <v>72.81</v>
      </c>
      <c r="D103">
        <v>1.0369999999999999</v>
      </c>
      <c r="E103">
        <v>2278</v>
      </c>
      <c r="F103">
        <v>2279.1</v>
      </c>
      <c r="G103">
        <v>381.1</v>
      </c>
      <c r="H103">
        <v>2114.6999999999998</v>
      </c>
      <c r="I103">
        <v>2495.8000000000002</v>
      </c>
      <c r="J103">
        <v>381.1</v>
      </c>
      <c r="K103">
        <v>2280.6</v>
      </c>
      <c r="L103">
        <v>2661.7</v>
      </c>
      <c r="M103">
        <v>1.2040999999999999</v>
      </c>
      <c r="N103">
        <v>6.2629000000000001</v>
      </c>
      <c r="O103">
        <v>7.4669999999999996</v>
      </c>
    </row>
    <row r="104" spans="1:15" x14ac:dyDescent="0.3">
      <c r="A104">
        <v>92</v>
      </c>
      <c r="B104">
        <v>365.15</v>
      </c>
      <c r="C104">
        <v>75.61</v>
      </c>
      <c r="D104">
        <v>1.038</v>
      </c>
      <c r="E104">
        <v>2199.1999999999998</v>
      </c>
      <c r="F104">
        <v>2200.1999999999998</v>
      </c>
      <c r="G104">
        <v>385.3</v>
      </c>
      <c r="H104">
        <v>2111.6999999999998</v>
      </c>
      <c r="I104">
        <v>2497</v>
      </c>
      <c r="J104">
        <v>385.4</v>
      </c>
      <c r="K104">
        <v>2278</v>
      </c>
      <c r="L104">
        <v>2663.4</v>
      </c>
      <c r="M104">
        <v>1.2156</v>
      </c>
      <c r="N104">
        <v>6.2386999999999997</v>
      </c>
      <c r="O104">
        <v>7.4542999999999999</v>
      </c>
    </row>
    <row r="105" spans="1:15" x14ac:dyDescent="0.3">
      <c r="A105">
        <v>93</v>
      </c>
      <c r="B105">
        <v>366.15</v>
      </c>
      <c r="C105">
        <v>78.489999999999995</v>
      </c>
      <c r="D105">
        <v>1.038</v>
      </c>
      <c r="E105">
        <v>2123.5</v>
      </c>
      <c r="F105">
        <v>2124.5</v>
      </c>
      <c r="G105">
        <v>389.5</v>
      </c>
      <c r="H105">
        <v>2108.6999999999998</v>
      </c>
      <c r="I105">
        <v>2498.1999999999998</v>
      </c>
      <c r="J105">
        <v>389.6</v>
      </c>
      <c r="K105">
        <v>2275.4</v>
      </c>
      <c r="L105">
        <v>2665</v>
      </c>
      <c r="M105">
        <v>1.2271000000000001</v>
      </c>
      <c r="N105">
        <v>6.2145000000000001</v>
      </c>
      <c r="O105">
        <v>7.4416000000000002</v>
      </c>
    </row>
    <row r="106" spans="1:15" x14ac:dyDescent="0.3">
      <c r="A106">
        <v>94</v>
      </c>
      <c r="B106">
        <v>367.15</v>
      </c>
      <c r="C106">
        <v>81.459999999999994</v>
      </c>
      <c r="D106">
        <v>1.0389999999999999</v>
      </c>
      <c r="E106">
        <v>2050.9</v>
      </c>
      <c r="F106">
        <v>2051.9</v>
      </c>
      <c r="G106">
        <v>393.7</v>
      </c>
      <c r="H106">
        <v>2105.6999999999998</v>
      </c>
      <c r="I106">
        <v>2499.4</v>
      </c>
      <c r="J106">
        <v>393.8</v>
      </c>
      <c r="K106">
        <v>2272.8000000000002</v>
      </c>
      <c r="L106">
        <v>2666.6</v>
      </c>
      <c r="M106">
        <v>1.2385999999999999</v>
      </c>
      <c r="N106">
        <v>6.1905000000000001</v>
      </c>
      <c r="O106">
        <v>7.4291</v>
      </c>
    </row>
    <row r="107" spans="1:15" x14ac:dyDescent="0.3">
      <c r="A107">
        <v>95</v>
      </c>
      <c r="B107">
        <v>368.15</v>
      </c>
      <c r="C107">
        <v>84.53</v>
      </c>
      <c r="D107">
        <v>1.04</v>
      </c>
      <c r="E107">
        <v>1981.2</v>
      </c>
      <c r="F107">
        <v>1982.2</v>
      </c>
      <c r="G107">
        <v>397.9</v>
      </c>
      <c r="H107">
        <v>2102.6999999999998</v>
      </c>
      <c r="I107">
        <v>2500.6</v>
      </c>
      <c r="J107">
        <v>398</v>
      </c>
      <c r="K107">
        <v>2270.1999999999998</v>
      </c>
      <c r="L107">
        <v>2668.1</v>
      </c>
      <c r="M107">
        <v>1.2501</v>
      </c>
      <c r="N107">
        <v>6.1665000000000001</v>
      </c>
      <c r="O107">
        <v>7.4165999999999999</v>
      </c>
    </row>
    <row r="108" spans="1:15" x14ac:dyDescent="0.3">
      <c r="A108">
        <v>96</v>
      </c>
      <c r="B108">
        <v>369.15</v>
      </c>
      <c r="C108">
        <v>87.69</v>
      </c>
      <c r="D108">
        <v>1.0409999999999999</v>
      </c>
      <c r="E108">
        <v>1914.3</v>
      </c>
      <c r="F108">
        <v>1915.3</v>
      </c>
      <c r="G108">
        <v>402.1</v>
      </c>
      <c r="H108">
        <v>2099.6999999999998</v>
      </c>
      <c r="I108">
        <v>2501.8000000000002</v>
      </c>
      <c r="J108">
        <v>402.2</v>
      </c>
      <c r="K108">
        <v>2267.5</v>
      </c>
      <c r="L108">
        <v>2669.7</v>
      </c>
      <c r="M108">
        <v>1.2615000000000001</v>
      </c>
      <c r="N108">
        <v>6.1426999999999996</v>
      </c>
      <c r="O108">
        <v>7.4042000000000003</v>
      </c>
    </row>
    <row r="109" spans="1:15" x14ac:dyDescent="0.3">
      <c r="A109">
        <v>97</v>
      </c>
      <c r="B109">
        <v>370.15</v>
      </c>
      <c r="C109">
        <v>90.94</v>
      </c>
      <c r="D109">
        <v>1.0409999999999999</v>
      </c>
      <c r="E109">
        <v>1850</v>
      </c>
      <c r="F109">
        <v>1851</v>
      </c>
      <c r="G109">
        <v>406.3</v>
      </c>
      <c r="H109">
        <v>2096.6</v>
      </c>
      <c r="I109">
        <v>2503</v>
      </c>
      <c r="J109">
        <v>406.4</v>
      </c>
      <c r="K109">
        <v>2264.9</v>
      </c>
      <c r="L109">
        <v>2671.3</v>
      </c>
      <c r="M109">
        <v>1.2728999999999999</v>
      </c>
      <c r="N109">
        <v>6.1189999999999998</v>
      </c>
      <c r="O109">
        <v>7.3918999999999997</v>
      </c>
    </row>
    <row r="110" spans="1:15" x14ac:dyDescent="0.3">
      <c r="A110">
        <v>98</v>
      </c>
      <c r="B110">
        <v>371.15</v>
      </c>
      <c r="C110">
        <v>94.3</v>
      </c>
      <c r="D110">
        <v>1.042</v>
      </c>
      <c r="E110">
        <v>1788.3</v>
      </c>
      <c r="F110">
        <v>1789.3</v>
      </c>
      <c r="G110">
        <v>410.5</v>
      </c>
      <c r="H110">
        <v>2093.6</v>
      </c>
      <c r="I110">
        <v>2504.1</v>
      </c>
      <c r="J110">
        <v>410.6</v>
      </c>
      <c r="K110">
        <v>2262.1999999999998</v>
      </c>
      <c r="L110">
        <v>2672.9</v>
      </c>
      <c r="M110">
        <v>1.2842</v>
      </c>
      <c r="N110">
        <v>6.0953999999999997</v>
      </c>
      <c r="O110">
        <v>7.3795999999999999</v>
      </c>
    </row>
    <row r="111" spans="1:15" x14ac:dyDescent="0.3">
      <c r="A111">
        <v>99</v>
      </c>
      <c r="B111">
        <v>372.15</v>
      </c>
      <c r="C111">
        <v>97.76</v>
      </c>
      <c r="D111">
        <v>1.0429999999999999</v>
      </c>
      <c r="E111">
        <v>1729</v>
      </c>
      <c r="F111">
        <v>1730</v>
      </c>
      <c r="G111">
        <v>414.7</v>
      </c>
      <c r="H111">
        <v>2090.6</v>
      </c>
      <c r="I111">
        <v>2505.3000000000002</v>
      </c>
      <c r="J111">
        <v>414.8</v>
      </c>
      <c r="K111">
        <v>2259.6</v>
      </c>
      <c r="L111">
        <v>2674.4</v>
      </c>
      <c r="M111">
        <v>1.2956000000000001</v>
      </c>
      <c r="N111">
        <v>6.0719000000000003</v>
      </c>
      <c r="O111">
        <v>7.3674999999999997</v>
      </c>
    </row>
    <row r="112" spans="1:15" x14ac:dyDescent="0.3">
      <c r="A112">
        <v>100</v>
      </c>
      <c r="B112">
        <v>373.15</v>
      </c>
      <c r="C112">
        <v>101.33</v>
      </c>
      <c r="D112">
        <v>1.044</v>
      </c>
      <c r="E112">
        <v>1672</v>
      </c>
      <c r="F112">
        <v>1673</v>
      </c>
      <c r="G112">
        <v>419</v>
      </c>
      <c r="H112">
        <v>2087.5</v>
      </c>
      <c r="I112">
        <v>2506.5</v>
      </c>
      <c r="J112">
        <v>419.1</v>
      </c>
      <c r="K112">
        <v>2256.9</v>
      </c>
      <c r="L112">
        <v>2676</v>
      </c>
      <c r="M112">
        <v>1.3069</v>
      </c>
      <c r="N112">
        <v>6.0484999999999998</v>
      </c>
      <c r="O112">
        <v>7.3554000000000004</v>
      </c>
    </row>
    <row r="113" spans="1:15" x14ac:dyDescent="0.3">
      <c r="A113">
        <v>102</v>
      </c>
      <c r="B113">
        <v>375.15</v>
      </c>
      <c r="C113">
        <v>108.78</v>
      </c>
      <c r="D113">
        <v>1.0449999999999999</v>
      </c>
      <c r="E113">
        <v>1564.5</v>
      </c>
      <c r="F113">
        <v>1565.5</v>
      </c>
      <c r="G113">
        <v>427.4</v>
      </c>
      <c r="H113">
        <v>2081.4</v>
      </c>
      <c r="I113">
        <v>2508.8000000000002</v>
      </c>
      <c r="J113">
        <v>427.5</v>
      </c>
      <c r="K113">
        <v>2251.6</v>
      </c>
      <c r="L113">
        <v>2679.1</v>
      </c>
      <c r="M113">
        <v>1.3293999999999999</v>
      </c>
      <c r="N113">
        <v>6.0021000000000004</v>
      </c>
      <c r="O113">
        <v>7.3315000000000001</v>
      </c>
    </row>
    <row r="114" spans="1:15" x14ac:dyDescent="0.3">
      <c r="A114">
        <v>104</v>
      </c>
      <c r="B114">
        <v>377.15</v>
      </c>
      <c r="C114">
        <v>116.68</v>
      </c>
      <c r="D114">
        <v>1.0469999999999999</v>
      </c>
      <c r="E114">
        <v>1465.1</v>
      </c>
      <c r="F114">
        <v>1466.2</v>
      </c>
      <c r="G114">
        <v>435.8</v>
      </c>
      <c r="H114">
        <v>2075.3000000000002</v>
      </c>
      <c r="I114">
        <v>2511.1</v>
      </c>
      <c r="J114">
        <v>435.9</v>
      </c>
      <c r="K114">
        <v>2246.3000000000002</v>
      </c>
      <c r="L114">
        <v>2682.2</v>
      </c>
      <c r="M114">
        <v>1.3517999999999999</v>
      </c>
      <c r="N114">
        <v>5.9560000000000004</v>
      </c>
      <c r="O114">
        <v>7.3078000000000003</v>
      </c>
    </row>
    <row r="115" spans="1:15" x14ac:dyDescent="0.3">
      <c r="A115">
        <v>106</v>
      </c>
      <c r="B115">
        <v>379.15</v>
      </c>
      <c r="C115">
        <v>125.04</v>
      </c>
      <c r="D115">
        <v>1.0489999999999999</v>
      </c>
      <c r="E115">
        <v>1373.1</v>
      </c>
      <c r="F115">
        <v>1374.2</v>
      </c>
      <c r="G115">
        <v>444.3</v>
      </c>
      <c r="H115">
        <v>2069.1999999999998</v>
      </c>
      <c r="I115">
        <v>2513.4</v>
      </c>
      <c r="J115">
        <v>444.4</v>
      </c>
      <c r="K115">
        <v>2240.9</v>
      </c>
      <c r="L115">
        <v>2685.3</v>
      </c>
      <c r="M115">
        <v>1.3742000000000001</v>
      </c>
      <c r="N115">
        <v>5.9104000000000001</v>
      </c>
      <c r="O115">
        <v>7.2845000000000004</v>
      </c>
    </row>
    <row r="116" spans="1:15" x14ac:dyDescent="0.3">
      <c r="A116">
        <v>108</v>
      </c>
      <c r="B116">
        <v>381.15</v>
      </c>
      <c r="C116">
        <v>133.9</v>
      </c>
      <c r="D116">
        <v>1.05</v>
      </c>
      <c r="E116">
        <v>1287.9000000000001</v>
      </c>
      <c r="F116">
        <v>1288.9000000000001</v>
      </c>
      <c r="G116">
        <v>452.7</v>
      </c>
      <c r="H116">
        <v>2063</v>
      </c>
      <c r="I116">
        <v>2515.6999999999998</v>
      </c>
      <c r="J116">
        <v>452.9</v>
      </c>
      <c r="K116">
        <v>2235.4</v>
      </c>
      <c r="L116">
        <v>2688.3</v>
      </c>
      <c r="M116">
        <v>1.3964000000000001</v>
      </c>
      <c r="N116">
        <v>5.8651</v>
      </c>
      <c r="O116">
        <v>7.2614999999999998</v>
      </c>
    </row>
    <row r="117" spans="1:15" x14ac:dyDescent="0.3">
      <c r="A117">
        <v>110</v>
      </c>
      <c r="B117">
        <v>383.15</v>
      </c>
      <c r="C117">
        <v>143.27000000000001</v>
      </c>
      <c r="D117">
        <v>1.052</v>
      </c>
      <c r="E117">
        <v>1208.9000000000001</v>
      </c>
      <c r="F117">
        <v>1209.9000000000001</v>
      </c>
      <c r="G117">
        <v>461.2</v>
      </c>
      <c r="H117">
        <v>2056.8000000000002</v>
      </c>
      <c r="I117">
        <v>2518</v>
      </c>
      <c r="J117">
        <v>461.3</v>
      </c>
      <c r="K117">
        <v>2230</v>
      </c>
      <c r="L117">
        <v>2691.3</v>
      </c>
      <c r="M117">
        <v>1.4185000000000001</v>
      </c>
      <c r="N117">
        <v>5.8202999999999996</v>
      </c>
      <c r="O117">
        <v>7.2388000000000003</v>
      </c>
    </row>
    <row r="118" spans="1:15" x14ac:dyDescent="0.3">
      <c r="A118">
        <v>112</v>
      </c>
      <c r="B118">
        <v>385.15</v>
      </c>
      <c r="C118">
        <v>153.16</v>
      </c>
      <c r="D118">
        <v>1.054</v>
      </c>
      <c r="E118">
        <v>1135.5999999999999</v>
      </c>
      <c r="F118">
        <v>1136.5999999999999</v>
      </c>
      <c r="G118">
        <v>469.6</v>
      </c>
      <c r="H118">
        <v>2050.6</v>
      </c>
      <c r="I118">
        <v>2520.1999999999998</v>
      </c>
      <c r="J118">
        <v>469.8</v>
      </c>
      <c r="K118">
        <v>2224.5</v>
      </c>
      <c r="L118">
        <v>2694.3</v>
      </c>
      <c r="M118">
        <v>1.4404999999999999</v>
      </c>
      <c r="N118">
        <v>5.7758000000000003</v>
      </c>
      <c r="O118">
        <v>7.2164000000000001</v>
      </c>
    </row>
    <row r="119" spans="1:15" x14ac:dyDescent="0.3">
      <c r="A119">
        <v>114</v>
      </c>
      <c r="B119">
        <v>387.15</v>
      </c>
      <c r="C119">
        <v>163.62</v>
      </c>
      <c r="D119">
        <v>1.0549999999999999</v>
      </c>
      <c r="E119">
        <v>1067.5</v>
      </c>
      <c r="F119">
        <v>1068.5</v>
      </c>
      <c r="G119">
        <v>478.1</v>
      </c>
      <c r="H119">
        <v>2044.3</v>
      </c>
      <c r="I119">
        <v>2522.4</v>
      </c>
      <c r="J119">
        <v>478.3</v>
      </c>
      <c r="K119">
        <v>2219</v>
      </c>
      <c r="L119">
        <v>2697.2</v>
      </c>
      <c r="M119">
        <v>1.4623999999999999</v>
      </c>
      <c r="N119">
        <v>5.7317999999999998</v>
      </c>
      <c r="O119">
        <v>7.1942000000000004</v>
      </c>
    </row>
    <row r="120" spans="1:15" x14ac:dyDescent="0.3">
      <c r="A120">
        <v>116</v>
      </c>
      <c r="B120">
        <v>389.15</v>
      </c>
      <c r="C120">
        <v>174.65</v>
      </c>
      <c r="D120">
        <v>1.0569999999999999</v>
      </c>
      <c r="E120">
        <v>1004.2</v>
      </c>
      <c r="F120">
        <v>1005.2</v>
      </c>
      <c r="G120">
        <v>486.6</v>
      </c>
      <c r="H120">
        <v>2038.1</v>
      </c>
      <c r="I120">
        <v>2524.6</v>
      </c>
      <c r="J120">
        <v>486.7</v>
      </c>
      <c r="K120">
        <v>2213.4</v>
      </c>
      <c r="L120">
        <v>2700.2</v>
      </c>
      <c r="M120">
        <v>1.4842</v>
      </c>
      <c r="N120">
        <v>5.6881000000000004</v>
      </c>
      <c r="O120">
        <v>7.1722999999999999</v>
      </c>
    </row>
    <row r="121" spans="1:15" x14ac:dyDescent="0.3">
      <c r="A121">
        <v>118</v>
      </c>
      <c r="B121">
        <v>391.15</v>
      </c>
      <c r="C121">
        <v>186.28</v>
      </c>
      <c r="D121">
        <v>1.0589999999999999</v>
      </c>
      <c r="E121">
        <v>945.3</v>
      </c>
      <c r="F121">
        <v>946.3</v>
      </c>
      <c r="G121">
        <v>495</v>
      </c>
      <c r="H121">
        <v>2031.8</v>
      </c>
      <c r="I121">
        <v>2526.8000000000002</v>
      </c>
      <c r="J121">
        <v>495.2</v>
      </c>
      <c r="K121">
        <v>2207.9</v>
      </c>
      <c r="L121">
        <v>2703.1</v>
      </c>
      <c r="M121">
        <v>1.506</v>
      </c>
      <c r="N121">
        <v>5.6447000000000003</v>
      </c>
      <c r="O121">
        <v>7.1506999999999996</v>
      </c>
    </row>
    <row r="122" spans="1:15" x14ac:dyDescent="0.3">
      <c r="A122">
        <v>120</v>
      </c>
      <c r="B122">
        <v>393.15</v>
      </c>
      <c r="C122">
        <v>198.54</v>
      </c>
      <c r="D122">
        <v>1.0609999999999999</v>
      </c>
      <c r="E122">
        <v>890.5</v>
      </c>
      <c r="F122">
        <v>891.5</v>
      </c>
      <c r="G122">
        <v>503.5</v>
      </c>
      <c r="H122">
        <v>2025.4</v>
      </c>
      <c r="I122">
        <v>2529</v>
      </c>
      <c r="J122">
        <v>503.7</v>
      </c>
      <c r="K122">
        <v>2202.1999999999998</v>
      </c>
      <c r="L122">
        <v>2706</v>
      </c>
      <c r="M122">
        <v>1.5276000000000001</v>
      </c>
      <c r="N122">
        <v>5.6017000000000001</v>
      </c>
      <c r="O122">
        <v>7.1292999999999997</v>
      </c>
    </row>
    <row r="123" spans="1:15" x14ac:dyDescent="0.3">
      <c r="A123">
        <v>122</v>
      </c>
      <c r="B123">
        <v>395.15</v>
      </c>
      <c r="C123">
        <v>211.45</v>
      </c>
      <c r="D123">
        <v>1.0620000000000001</v>
      </c>
      <c r="E123">
        <v>839.4</v>
      </c>
      <c r="F123">
        <v>840.5</v>
      </c>
      <c r="G123">
        <v>512</v>
      </c>
      <c r="H123">
        <v>2019.1</v>
      </c>
      <c r="I123">
        <v>2531.1</v>
      </c>
      <c r="J123">
        <v>512.20000000000005</v>
      </c>
      <c r="K123">
        <v>2196.6</v>
      </c>
      <c r="L123">
        <v>2708.8</v>
      </c>
      <c r="M123">
        <v>1.5490999999999999</v>
      </c>
      <c r="N123">
        <v>5.5590000000000002</v>
      </c>
      <c r="O123">
        <v>7.1082000000000001</v>
      </c>
    </row>
    <row r="124" spans="1:15" x14ac:dyDescent="0.3">
      <c r="A124">
        <v>124</v>
      </c>
      <c r="B124">
        <v>397.15</v>
      </c>
      <c r="C124">
        <v>225.04</v>
      </c>
      <c r="D124">
        <v>1.0640000000000001</v>
      </c>
      <c r="E124">
        <v>791.8</v>
      </c>
      <c r="F124">
        <v>792.8</v>
      </c>
      <c r="G124">
        <v>520.5</v>
      </c>
      <c r="H124">
        <v>2012.7</v>
      </c>
      <c r="I124">
        <v>2533.1999999999998</v>
      </c>
      <c r="J124">
        <v>520.70000000000005</v>
      </c>
      <c r="K124">
        <v>2190.9</v>
      </c>
      <c r="L124">
        <v>2711.6</v>
      </c>
      <c r="M124">
        <v>1.5706</v>
      </c>
      <c r="N124">
        <v>5.5167000000000002</v>
      </c>
      <c r="O124">
        <v>7.0872999999999999</v>
      </c>
    </row>
    <row r="125" spans="1:15" x14ac:dyDescent="0.3">
      <c r="A125">
        <v>126</v>
      </c>
      <c r="B125">
        <v>399.15</v>
      </c>
      <c r="C125">
        <v>239.33</v>
      </c>
      <c r="D125">
        <v>1.0660000000000001</v>
      </c>
      <c r="E125">
        <v>747.3</v>
      </c>
      <c r="F125">
        <v>748.4</v>
      </c>
      <c r="G125">
        <v>529</v>
      </c>
      <c r="H125">
        <v>2006.3</v>
      </c>
      <c r="I125">
        <v>2535.3000000000002</v>
      </c>
      <c r="J125">
        <v>529.20000000000005</v>
      </c>
      <c r="K125">
        <v>2185.1999999999998</v>
      </c>
      <c r="L125">
        <v>2714.4</v>
      </c>
      <c r="M125">
        <v>1.5919000000000001</v>
      </c>
      <c r="N125">
        <v>5.4747000000000003</v>
      </c>
      <c r="O125">
        <v>7.0666000000000002</v>
      </c>
    </row>
    <row r="126" spans="1:15" x14ac:dyDescent="0.3">
      <c r="A126">
        <v>128</v>
      </c>
      <c r="B126">
        <v>401.15</v>
      </c>
      <c r="C126">
        <v>254.35</v>
      </c>
      <c r="D126">
        <v>1.0680000000000001</v>
      </c>
      <c r="E126">
        <v>705.8</v>
      </c>
      <c r="F126">
        <v>706.9</v>
      </c>
      <c r="G126">
        <v>537.5</v>
      </c>
      <c r="H126">
        <v>1999.9</v>
      </c>
      <c r="I126">
        <v>2537.4</v>
      </c>
      <c r="J126">
        <v>537.79999999999995</v>
      </c>
      <c r="K126">
        <v>2179.4</v>
      </c>
      <c r="L126">
        <v>2717.2</v>
      </c>
      <c r="M126">
        <v>1.6132</v>
      </c>
      <c r="N126">
        <v>5.4329999999999998</v>
      </c>
      <c r="O126">
        <v>7.0461999999999998</v>
      </c>
    </row>
    <row r="127" spans="1:15" x14ac:dyDescent="0.3">
      <c r="A127">
        <v>130</v>
      </c>
      <c r="B127">
        <v>403.15</v>
      </c>
      <c r="C127">
        <v>270.13</v>
      </c>
      <c r="D127">
        <v>1.07</v>
      </c>
      <c r="E127">
        <v>667.1</v>
      </c>
      <c r="F127">
        <v>668.1</v>
      </c>
      <c r="G127">
        <v>546</v>
      </c>
      <c r="H127">
        <v>1993.4</v>
      </c>
      <c r="I127">
        <v>2539.4</v>
      </c>
      <c r="J127">
        <v>546.29999999999995</v>
      </c>
      <c r="K127">
        <v>2173.6</v>
      </c>
      <c r="L127">
        <v>2719.9</v>
      </c>
      <c r="M127">
        <v>1.6344000000000001</v>
      </c>
      <c r="N127">
        <v>5.3917000000000002</v>
      </c>
      <c r="O127">
        <v>7.0260999999999996</v>
      </c>
    </row>
    <row r="128" spans="1:15" x14ac:dyDescent="0.3">
      <c r="A128">
        <v>132</v>
      </c>
      <c r="B128">
        <v>405.15</v>
      </c>
      <c r="C128">
        <v>286.7</v>
      </c>
      <c r="D128">
        <v>1.0720000000000001</v>
      </c>
      <c r="E128">
        <v>630.79999999999995</v>
      </c>
      <c r="F128">
        <v>631.9</v>
      </c>
      <c r="G128">
        <v>554.5</v>
      </c>
      <c r="H128">
        <v>1986.9</v>
      </c>
      <c r="I128">
        <v>2541.4</v>
      </c>
      <c r="J128">
        <v>554.79999999999995</v>
      </c>
      <c r="K128">
        <v>2167.8000000000002</v>
      </c>
      <c r="L128">
        <v>2722.6</v>
      </c>
      <c r="M128">
        <v>1.6555</v>
      </c>
      <c r="N128">
        <v>5.3506999999999998</v>
      </c>
      <c r="O128">
        <v>7.0061</v>
      </c>
    </row>
    <row r="129" spans="1:15" x14ac:dyDescent="0.3">
      <c r="A129">
        <v>134</v>
      </c>
      <c r="B129">
        <v>407.15</v>
      </c>
      <c r="C129">
        <v>304.07</v>
      </c>
      <c r="D129">
        <v>1.0740000000000001</v>
      </c>
      <c r="E129">
        <v>596.9</v>
      </c>
      <c r="F129">
        <v>598</v>
      </c>
      <c r="G129">
        <v>563.1</v>
      </c>
      <c r="H129">
        <v>1980.4</v>
      </c>
      <c r="I129">
        <v>2543.4</v>
      </c>
      <c r="J129">
        <v>563.4</v>
      </c>
      <c r="K129">
        <v>2161.9</v>
      </c>
      <c r="L129">
        <v>2725.3</v>
      </c>
      <c r="M129">
        <v>1.6765000000000001</v>
      </c>
      <c r="N129">
        <v>5.3098999999999998</v>
      </c>
      <c r="O129">
        <v>6.9863999999999997</v>
      </c>
    </row>
    <row r="130" spans="1:15" x14ac:dyDescent="0.3">
      <c r="A130">
        <v>136</v>
      </c>
      <c r="B130">
        <v>409.15</v>
      </c>
      <c r="C130">
        <v>322.29000000000002</v>
      </c>
      <c r="D130">
        <v>1.0760000000000001</v>
      </c>
      <c r="E130">
        <v>565.1</v>
      </c>
      <c r="F130">
        <v>566.20000000000005</v>
      </c>
      <c r="G130">
        <v>571.6</v>
      </c>
      <c r="H130">
        <v>1973.8</v>
      </c>
      <c r="I130">
        <v>2545.4</v>
      </c>
      <c r="J130">
        <v>572</v>
      </c>
      <c r="K130">
        <v>2155.9</v>
      </c>
      <c r="L130">
        <v>2727.9</v>
      </c>
      <c r="M130">
        <v>1.6974</v>
      </c>
      <c r="N130">
        <v>5.2694999999999999</v>
      </c>
      <c r="O130">
        <v>6.9668999999999999</v>
      </c>
    </row>
    <row r="131" spans="1:15" x14ac:dyDescent="0.3">
      <c r="A131">
        <v>138</v>
      </c>
      <c r="B131">
        <v>411.15</v>
      </c>
      <c r="C131">
        <v>341.38</v>
      </c>
      <c r="D131">
        <v>1.0780000000000001</v>
      </c>
      <c r="E131">
        <v>535.29999999999995</v>
      </c>
      <c r="F131">
        <v>536.4</v>
      </c>
      <c r="G131">
        <v>580.20000000000005</v>
      </c>
      <c r="H131">
        <v>1967.2</v>
      </c>
      <c r="I131">
        <v>2547.4</v>
      </c>
      <c r="J131">
        <v>580.5</v>
      </c>
      <c r="K131">
        <v>2150</v>
      </c>
      <c r="L131">
        <v>2730.5</v>
      </c>
      <c r="M131">
        <v>1.7181999999999999</v>
      </c>
      <c r="N131">
        <v>5.2293000000000003</v>
      </c>
      <c r="O131">
        <v>6.9474999999999998</v>
      </c>
    </row>
    <row r="132" spans="1:15" x14ac:dyDescent="0.3">
      <c r="A132">
        <v>140</v>
      </c>
      <c r="B132">
        <v>413.15</v>
      </c>
      <c r="C132">
        <v>361.38</v>
      </c>
      <c r="D132">
        <v>1.08</v>
      </c>
      <c r="E132">
        <v>507.4</v>
      </c>
      <c r="F132">
        <v>508.5</v>
      </c>
      <c r="G132">
        <v>588.70000000000005</v>
      </c>
      <c r="H132">
        <v>1960.6</v>
      </c>
      <c r="I132">
        <v>2549.3000000000002</v>
      </c>
      <c r="J132">
        <v>589.1</v>
      </c>
      <c r="K132">
        <v>2144</v>
      </c>
      <c r="L132">
        <v>2733.1</v>
      </c>
      <c r="M132">
        <v>1.7390000000000001</v>
      </c>
      <c r="N132">
        <v>5.1894</v>
      </c>
      <c r="O132">
        <v>6.9283999999999999</v>
      </c>
    </row>
    <row r="133" spans="1:15" x14ac:dyDescent="0.3">
      <c r="A133">
        <v>142</v>
      </c>
      <c r="B133">
        <v>415.15</v>
      </c>
      <c r="C133">
        <v>382.31</v>
      </c>
      <c r="D133">
        <v>1.0820000000000001</v>
      </c>
      <c r="E133">
        <v>481.2</v>
      </c>
      <c r="F133">
        <v>482.3</v>
      </c>
      <c r="G133">
        <v>597.29999999999995</v>
      </c>
      <c r="H133">
        <v>1953.9</v>
      </c>
      <c r="I133">
        <v>2551.1999999999998</v>
      </c>
      <c r="J133">
        <v>597.70000000000005</v>
      </c>
      <c r="K133">
        <v>2137.9</v>
      </c>
      <c r="L133">
        <v>2735.6</v>
      </c>
      <c r="M133">
        <v>1.7597</v>
      </c>
      <c r="N133">
        <v>5.1498999999999997</v>
      </c>
      <c r="O133">
        <v>6.9095000000000004</v>
      </c>
    </row>
    <row r="134" spans="1:15" x14ac:dyDescent="0.3">
      <c r="A134">
        <v>144</v>
      </c>
      <c r="B134">
        <v>417.15</v>
      </c>
      <c r="C134">
        <v>404.2</v>
      </c>
      <c r="D134">
        <v>1.0840000000000001</v>
      </c>
      <c r="E134">
        <v>456.6</v>
      </c>
      <c r="F134">
        <v>457.7</v>
      </c>
      <c r="G134">
        <v>605.9</v>
      </c>
      <c r="H134">
        <v>1947.2</v>
      </c>
      <c r="I134">
        <v>2553.1</v>
      </c>
      <c r="J134">
        <v>606.29999999999995</v>
      </c>
      <c r="K134">
        <v>2131.8000000000002</v>
      </c>
      <c r="L134">
        <v>2738.1</v>
      </c>
      <c r="M134">
        <v>1.7803</v>
      </c>
      <c r="N134">
        <v>5.1105</v>
      </c>
      <c r="O134">
        <v>6.8907999999999996</v>
      </c>
    </row>
    <row r="135" spans="1:15" x14ac:dyDescent="0.3">
      <c r="A135">
        <v>146</v>
      </c>
      <c r="B135">
        <v>419.15</v>
      </c>
      <c r="C135">
        <v>427.09</v>
      </c>
      <c r="D135">
        <v>1.0860000000000001</v>
      </c>
      <c r="E135">
        <v>433.5</v>
      </c>
      <c r="F135">
        <v>434.6</v>
      </c>
      <c r="G135">
        <v>614.4</v>
      </c>
      <c r="H135">
        <v>1940.5</v>
      </c>
      <c r="I135">
        <v>2554.9</v>
      </c>
      <c r="J135">
        <v>614.9</v>
      </c>
      <c r="K135">
        <v>2125.6999999999998</v>
      </c>
      <c r="L135">
        <v>2740.6</v>
      </c>
      <c r="M135">
        <v>1.8008</v>
      </c>
      <c r="N135">
        <v>5.0715000000000003</v>
      </c>
      <c r="O135">
        <v>6.8723000000000001</v>
      </c>
    </row>
    <row r="136" spans="1:15" x14ac:dyDescent="0.3">
      <c r="A136">
        <v>148</v>
      </c>
      <c r="B136">
        <v>421.15</v>
      </c>
      <c r="C136">
        <v>451.01</v>
      </c>
      <c r="D136">
        <v>1.089</v>
      </c>
      <c r="E136">
        <v>411.8</v>
      </c>
      <c r="F136">
        <v>412.9</v>
      </c>
      <c r="G136">
        <v>623</v>
      </c>
      <c r="H136">
        <v>1933.7</v>
      </c>
      <c r="I136">
        <v>2556.8000000000002</v>
      </c>
      <c r="J136">
        <v>623.5</v>
      </c>
      <c r="K136">
        <v>2119.5</v>
      </c>
      <c r="L136">
        <v>2743</v>
      </c>
      <c r="M136">
        <v>1.8212999999999999</v>
      </c>
      <c r="N136">
        <v>5.0327000000000002</v>
      </c>
      <c r="O136">
        <v>6.8539000000000003</v>
      </c>
    </row>
    <row r="137" spans="1:15" x14ac:dyDescent="0.3">
      <c r="A137">
        <v>150</v>
      </c>
      <c r="B137">
        <v>423.15</v>
      </c>
      <c r="C137">
        <v>476</v>
      </c>
      <c r="D137">
        <v>1.091</v>
      </c>
      <c r="E137">
        <v>391.4</v>
      </c>
      <c r="F137">
        <v>392.4</v>
      </c>
      <c r="G137">
        <v>631.6</v>
      </c>
      <c r="H137">
        <v>1926.9</v>
      </c>
      <c r="I137">
        <v>2558.6</v>
      </c>
      <c r="J137">
        <v>632.1</v>
      </c>
      <c r="K137">
        <v>2113.1999999999998</v>
      </c>
      <c r="L137">
        <v>2745.4</v>
      </c>
      <c r="M137">
        <v>1.8415999999999999</v>
      </c>
      <c r="N137">
        <v>4.9941000000000004</v>
      </c>
      <c r="O137">
        <v>6.8357999999999999</v>
      </c>
    </row>
    <row r="138" spans="1:15" x14ac:dyDescent="0.3">
      <c r="A138">
        <v>152</v>
      </c>
      <c r="B138">
        <v>425.15</v>
      </c>
      <c r="C138">
        <v>502.08</v>
      </c>
      <c r="D138">
        <v>1.093</v>
      </c>
      <c r="E138">
        <v>372.1</v>
      </c>
      <c r="F138">
        <v>373.2</v>
      </c>
      <c r="G138">
        <v>640.20000000000005</v>
      </c>
      <c r="H138">
        <v>1920.1</v>
      </c>
      <c r="I138">
        <v>2560.3000000000002</v>
      </c>
      <c r="J138">
        <v>640.79999999999995</v>
      </c>
      <c r="K138">
        <v>2106.9</v>
      </c>
      <c r="L138">
        <v>2747.7</v>
      </c>
      <c r="M138">
        <v>1.8619000000000001</v>
      </c>
      <c r="N138">
        <v>4.9558</v>
      </c>
      <c r="O138">
        <v>6.8178000000000001</v>
      </c>
    </row>
    <row r="139" spans="1:15" x14ac:dyDescent="0.3">
      <c r="A139">
        <v>154</v>
      </c>
      <c r="B139">
        <v>427.15</v>
      </c>
      <c r="C139">
        <v>529.29</v>
      </c>
      <c r="D139">
        <v>1.095</v>
      </c>
      <c r="E139">
        <v>354</v>
      </c>
      <c r="F139">
        <v>355.1</v>
      </c>
      <c r="G139">
        <v>648.9</v>
      </c>
      <c r="H139">
        <v>1913.2</v>
      </c>
      <c r="I139">
        <v>2562.1</v>
      </c>
      <c r="J139">
        <v>649.4</v>
      </c>
      <c r="K139">
        <v>2100.6</v>
      </c>
      <c r="L139">
        <v>2750</v>
      </c>
      <c r="M139">
        <v>1.8822000000000001</v>
      </c>
      <c r="N139">
        <v>4.9177999999999997</v>
      </c>
      <c r="O139">
        <v>6.8</v>
      </c>
    </row>
    <row r="140" spans="1:15" x14ac:dyDescent="0.3">
      <c r="A140">
        <v>156</v>
      </c>
      <c r="B140">
        <v>429.15</v>
      </c>
      <c r="C140">
        <v>557.66999999999996</v>
      </c>
      <c r="D140">
        <v>1.0980000000000001</v>
      </c>
      <c r="E140">
        <v>336.9</v>
      </c>
      <c r="F140">
        <v>338</v>
      </c>
      <c r="G140">
        <v>657.5</v>
      </c>
      <c r="H140">
        <v>1906.3</v>
      </c>
      <c r="I140">
        <v>2563.8000000000002</v>
      </c>
      <c r="J140">
        <v>658.1</v>
      </c>
      <c r="K140">
        <v>2094.1999999999998</v>
      </c>
      <c r="L140">
        <v>2752.3</v>
      </c>
      <c r="M140">
        <v>1.9023000000000001</v>
      </c>
      <c r="N140">
        <v>4.88</v>
      </c>
      <c r="O140">
        <v>6.7823000000000002</v>
      </c>
    </row>
    <row r="141" spans="1:15" x14ac:dyDescent="0.3">
      <c r="A141">
        <v>158</v>
      </c>
      <c r="B141">
        <v>431.15</v>
      </c>
      <c r="C141">
        <v>587.25</v>
      </c>
      <c r="D141">
        <v>1.1000000000000001</v>
      </c>
      <c r="E141">
        <v>320.8</v>
      </c>
      <c r="F141">
        <v>321.89999999999998</v>
      </c>
      <c r="G141">
        <v>666.1</v>
      </c>
      <c r="H141">
        <v>1899.3</v>
      </c>
      <c r="I141">
        <v>2565.5</v>
      </c>
      <c r="J141">
        <v>666.8</v>
      </c>
      <c r="K141">
        <v>2087.6999999999998</v>
      </c>
      <c r="L141">
        <v>2754.5</v>
      </c>
      <c r="M141">
        <v>1.9224000000000001</v>
      </c>
      <c r="N141">
        <v>4.8423999999999996</v>
      </c>
      <c r="O141">
        <v>6.7648000000000001</v>
      </c>
    </row>
    <row r="142" spans="1:15" x14ac:dyDescent="0.3">
      <c r="A142">
        <v>160</v>
      </c>
      <c r="B142">
        <v>433.15</v>
      </c>
      <c r="C142">
        <v>618.05999999999995</v>
      </c>
      <c r="D142">
        <v>1.1020000000000001</v>
      </c>
      <c r="E142">
        <v>305.7</v>
      </c>
      <c r="F142">
        <v>306.8</v>
      </c>
      <c r="G142">
        <v>674.8</v>
      </c>
      <c r="H142">
        <v>1892.3</v>
      </c>
      <c r="I142">
        <v>2567.1</v>
      </c>
      <c r="J142">
        <v>675.5</v>
      </c>
      <c r="K142">
        <v>2081.3000000000002</v>
      </c>
      <c r="L142">
        <v>2756.7</v>
      </c>
      <c r="M142">
        <v>1.9424999999999999</v>
      </c>
      <c r="N142">
        <v>4.8049999999999997</v>
      </c>
      <c r="O142">
        <v>6.7474999999999996</v>
      </c>
    </row>
    <row r="143" spans="1:15" x14ac:dyDescent="0.3">
      <c r="A143">
        <v>162</v>
      </c>
      <c r="B143">
        <v>435.15</v>
      </c>
      <c r="C143">
        <v>650.16</v>
      </c>
      <c r="D143">
        <v>1.105</v>
      </c>
      <c r="E143">
        <v>291.3</v>
      </c>
      <c r="F143">
        <v>292.39999999999998</v>
      </c>
      <c r="G143">
        <v>683.5</v>
      </c>
      <c r="H143">
        <v>1885.3</v>
      </c>
      <c r="I143">
        <v>2568.8000000000002</v>
      </c>
      <c r="J143">
        <v>684.2</v>
      </c>
      <c r="K143">
        <v>2074.6999999999998</v>
      </c>
      <c r="L143">
        <v>2758.9</v>
      </c>
      <c r="M143">
        <v>1.9623999999999999</v>
      </c>
      <c r="N143">
        <v>4.7679</v>
      </c>
      <c r="O143">
        <v>6.7302999999999997</v>
      </c>
    </row>
    <row r="144" spans="1:15" x14ac:dyDescent="0.3">
      <c r="A144">
        <v>164</v>
      </c>
      <c r="B144">
        <v>437.15</v>
      </c>
      <c r="C144">
        <v>683.56</v>
      </c>
      <c r="D144">
        <v>1.107</v>
      </c>
      <c r="E144">
        <v>277.8</v>
      </c>
      <c r="F144">
        <v>278.89999999999998</v>
      </c>
      <c r="G144">
        <v>692.1</v>
      </c>
      <c r="H144">
        <v>1878.2</v>
      </c>
      <c r="I144">
        <v>2570.4</v>
      </c>
      <c r="J144">
        <v>692.9</v>
      </c>
      <c r="K144">
        <v>2068.1</v>
      </c>
      <c r="L144">
        <v>2761</v>
      </c>
      <c r="M144">
        <v>1.9823</v>
      </c>
      <c r="N144">
        <v>4.7309000000000001</v>
      </c>
      <c r="O144">
        <v>6.7133000000000003</v>
      </c>
    </row>
    <row r="145" spans="1:15" x14ac:dyDescent="0.3">
      <c r="A145">
        <v>166</v>
      </c>
      <c r="B145">
        <v>439.15</v>
      </c>
      <c r="C145">
        <v>718.31</v>
      </c>
      <c r="D145">
        <v>1.109</v>
      </c>
      <c r="E145">
        <v>265</v>
      </c>
      <c r="F145">
        <v>266.10000000000002</v>
      </c>
      <c r="G145">
        <v>700.8</v>
      </c>
      <c r="H145">
        <v>1871.1</v>
      </c>
      <c r="I145">
        <v>2571.9</v>
      </c>
      <c r="J145">
        <v>701.6</v>
      </c>
      <c r="K145">
        <v>2061.4</v>
      </c>
      <c r="L145">
        <v>2763.1</v>
      </c>
      <c r="M145">
        <v>2.0022000000000002</v>
      </c>
      <c r="N145">
        <v>4.6942000000000004</v>
      </c>
      <c r="O145">
        <v>6.6963999999999997</v>
      </c>
    </row>
    <row r="146" spans="1:15" x14ac:dyDescent="0.3">
      <c r="A146">
        <v>168</v>
      </c>
      <c r="B146">
        <v>441.15</v>
      </c>
      <c r="C146">
        <v>754.45</v>
      </c>
      <c r="D146">
        <v>1.1120000000000001</v>
      </c>
      <c r="E146">
        <v>252.9</v>
      </c>
      <c r="F146">
        <v>254</v>
      </c>
      <c r="G146">
        <v>709.5</v>
      </c>
      <c r="H146">
        <v>1863.9</v>
      </c>
      <c r="I146">
        <v>2573.4</v>
      </c>
      <c r="J146">
        <v>710.4</v>
      </c>
      <c r="K146">
        <v>2054.6999999999998</v>
      </c>
      <c r="L146">
        <v>2765.1</v>
      </c>
      <c r="M146">
        <v>2.0219</v>
      </c>
      <c r="N146">
        <v>4.6577000000000002</v>
      </c>
      <c r="O146">
        <v>6.6795999999999998</v>
      </c>
    </row>
    <row r="147" spans="1:15" x14ac:dyDescent="0.3">
      <c r="A147">
        <v>170</v>
      </c>
      <c r="B147">
        <v>443.15</v>
      </c>
      <c r="C147">
        <v>792.02</v>
      </c>
      <c r="D147">
        <v>1.1140000000000001</v>
      </c>
      <c r="E147">
        <v>241.4</v>
      </c>
      <c r="F147">
        <v>242.6</v>
      </c>
      <c r="G147">
        <v>718.2</v>
      </c>
      <c r="H147">
        <v>1856.7</v>
      </c>
      <c r="I147">
        <v>2574.9</v>
      </c>
      <c r="J147">
        <v>719.1</v>
      </c>
      <c r="K147">
        <v>2047.9</v>
      </c>
      <c r="L147">
        <v>2767.1</v>
      </c>
      <c r="M147">
        <v>2.0415999999999999</v>
      </c>
      <c r="N147">
        <v>4.6214000000000004</v>
      </c>
      <c r="O147">
        <v>6.6630000000000003</v>
      </c>
    </row>
    <row r="148" spans="1:15" x14ac:dyDescent="0.3">
      <c r="A148">
        <v>172</v>
      </c>
      <c r="B148">
        <v>445.15</v>
      </c>
      <c r="C148">
        <v>831.06</v>
      </c>
      <c r="D148">
        <v>1.117</v>
      </c>
      <c r="E148">
        <v>230.6</v>
      </c>
      <c r="F148">
        <v>231.7</v>
      </c>
      <c r="G148">
        <v>727</v>
      </c>
      <c r="H148">
        <v>1849.5</v>
      </c>
      <c r="I148">
        <v>2576.4</v>
      </c>
      <c r="J148">
        <v>727.9</v>
      </c>
      <c r="K148">
        <v>2041.1</v>
      </c>
      <c r="L148">
        <v>2769</v>
      </c>
      <c r="M148">
        <v>2.0613000000000001</v>
      </c>
      <c r="N148">
        <v>4.5853000000000002</v>
      </c>
      <c r="O148">
        <v>6.6464999999999996</v>
      </c>
    </row>
    <row r="149" spans="1:15" x14ac:dyDescent="0.3">
      <c r="A149">
        <v>174</v>
      </c>
      <c r="B149">
        <v>447.15</v>
      </c>
      <c r="C149">
        <v>871.6</v>
      </c>
      <c r="D149">
        <v>1.1200000000000001</v>
      </c>
      <c r="E149">
        <v>220.3</v>
      </c>
      <c r="F149">
        <v>221.5</v>
      </c>
      <c r="G149">
        <v>735.7</v>
      </c>
      <c r="H149">
        <v>1842.2</v>
      </c>
      <c r="I149">
        <v>2577.8000000000002</v>
      </c>
      <c r="J149">
        <v>736.7</v>
      </c>
      <c r="K149">
        <v>2034.2</v>
      </c>
      <c r="L149">
        <v>2770.9</v>
      </c>
      <c r="M149">
        <v>2.0809000000000002</v>
      </c>
      <c r="N149">
        <v>4.5492999999999997</v>
      </c>
      <c r="O149">
        <v>6.6302000000000003</v>
      </c>
    </row>
    <row r="150" spans="1:15" x14ac:dyDescent="0.3">
      <c r="A150">
        <v>176</v>
      </c>
      <c r="B150">
        <v>449.15</v>
      </c>
      <c r="C150">
        <v>913.68</v>
      </c>
      <c r="D150">
        <v>1.1220000000000001</v>
      </c>
      <c r="E150">
        <v>210.6</v>
      </c>
      <c r="F150">
        <v>211.7</v>
      </c>
      <c r="G150">
        <v>744.4</v>
      </c>
      <c r="H150">
        <v>1834.8</v>
      </c>
      <c r="I150">
        <v>2579.3000000000002</v>
      </c>
      <c r="J150">
        <v>745.5</v>
      </c>
      <c r="K150">
        <v>2027.3</v>
      </c>
      <c r="L150">
        <v>2772.7</v>
      </c>
      <c r="M150">
        <v>2.1004</v>
      </c>
      <c r="N150">
        <v>4.5136000000000003</v>
      </c>
      <c r="O150">
        <v>6.6139999999999999</v>
      </c>
    </row>
    <row r="151" spans="1:15" x14ac:dyDescent="0.3">
      <c r="A151">
        <v>178</v>
      </c>
      <c r="B151">
        <v>451.15</v>
      </c>
      <c r="C151">
        <v>957.36</v>
      </c>
      <c r="D151">
        <v>1.125</v>
      </c>
      <c r="E151">
        <v>201.4</v>
      </c>
      <c r="F151">
        <v>202.5</v>
      </c>
      <c r="G151">
        <v>753.2</v>
      </c>
      <c r="H151">
        <v>1827.4</v>
      </c>
      <c r="I151">
        <v>2580.6</v>
      </c>
      <c r="J151">
        <v>754.3</v>
      </c>
      <c r="K151">
        <v>2020.2</v>
      </c>
      <c r="L151">
        <v>2774.5</v>
      </c>
      <c r="M151">
        <v>2.1198999999999999</v>
      </c>
      <c r="N151">
        <v>4.4779999999999998</v>
      </c>
      <c r="O151">
        <v>6.5979000000000001</v>
      </c>
    </row>
    <row r="152" spans="1:15" x14ac:dyDescent="0.3">
      <c r="A152">
        <v>180</v>
      </c>
      <c r="B152">
        <v>453.15</v>
      </c>
      <c r="C152">
        <v>1002.7</v>
      </c>
      <c r="D152">
        <v>1.1279999999999999</v>
      </c>
      <c r="E152">
        <v>192.7</v>
      </c>
      <c r="F152">
        <v>193.8</v>
      </c>
      <c r="G152">
        <v>762</v>
      </c>
      <c r="H152">
        <v>1820</v>
      </c>
      <c r="I152">
        <v>2581.9</v>
      </c>
      <c r="J152">
        <v>763.1</v>
      </c>
      <c r="K152">
        <v>2013.1</v>
      </c>
      <c r="L152">
        <v>2776.3</v>
      </c>
      <c r="M152">
        <v>2.1393</v>
      </c>
      <c r="N152">
        <v>4.4425999999999997</v>
      </c>
      <c r="O152">
        <v>6.5819000000000001</v>
      </c>
    </row>
    <row r="153" spans="1:15" x14ac:dyDescent="0.3">
      <c r="A153">
        <v>182</v>
      </c>
      <c r="B153">
        <v>455.15</v>
      </c>
      <c r="C153">
        <v>1049.5999999999999</v>
      </c>
      <c r="D153">
        <v>1.1299999999999999</v>
      </c>
      <c r="E153">
        <v>184.4</v>
      </c>
      <c r="F153">
        <v>185.5</v>
      </c>
      <c r="G153">
        <v>770.8</v>
      </c>
      <c r="H153">
        <v>1812.5</v>
      </c>
      <c r="I153">
        <v>2583.1999999999998</v>
      </c>
      <c r="J153">
        <v>772</v>
      </c>
      <c r="K153">
        <v>2006</v>
      </c>
      <c r="L153">
        <v>2778</v>
      </c>
      <c r="M153">
        <v>2.1587000000000001</v>
      </c>
      <c r="N153">
        <v>4.4074</v>
      </c>
      <c r="O153">
        <v>6.5659999999999998</v>
      </c>
    </row>
    <row r="154" spans="1:15" x14ac:dyDescent="0.3">
      <c r="A154">
        <v>184</v>
      </c>
      <c r="B154">
        <v>457.15</v>
      </c>
      <c r="C154">
        <v>1098.3</v>
      </c>
      <c r="D154">
        <v>1.133</v>
      </c>
      <c r="E154">
        <v>176.5</v>
      </c>
      <c r="F154">
        <v>177.6</v>
      </c>
      <c r="G154">
        <v>779.6</v>
      </c>
      <c r="H154">
        <v>1804.9</v>
      </c>
      <c r="I154">
        <v>2584.5</v>
      </c>
      <c r="J154">
        <v>780.8</v>
      </c>
      <c r="K154">
        <v>1998.8</v>
      </c>
      <c r="L154">
        <v>2779.6</v>
      </c>
      <c r="M154">
        <v>2.1779999999999999</v>
      </c>
      <c r="N154">
        <v>4.3723000000000001</v>
      </c>
      <c r="O154">
        <v>6.5503</v>
      </c>
    </row>
    <row r="155" spans="1:15" x14ac:dyDescent="0.3">
      <c r="A155">
        <v>186</v>
      </c>
      <c r="B155">
        <v>459.15</v>
      </c>
      <c r="C155">
        <v>1148.8</v>
      </c>
      <c r="D155">
        <v>1.1359999999999999</v>
      </c>
      <c r="E155">
        <v>169</v>
      </c>
      <c r="F155">
        <v>170.2</v>
      </c>
      <c r="G155">
        <v>788.4</v>
      </c>
      <c r="H155">
        <v>1797.3</v>
      </c>
      <c r="I155">
        <v>2585.6999999999998</v>
      </c>
      <c r="J155">
        <v>789.7</v>
      </c>
      <c r="K155">
        <v>1991.5</v>
      </c>
      <c r="L155">
        <v>2781.2</v>
      </c>
      <c r="M155">
        <v>2.1972</v>
      </c>
      <c r="N155">
        <v>4.3373999999999997</v>
      </c>
      <c r="O155">
        <v>6.5346000000000002</v>
      </c>
    </row>
    <row r="156" spans="1:15" x14ac:dyDescent="0.3">
      <c r="A156">
        <v>188</v>
      </c>
      <c r="B156">
        <v>461.15</v>
      </c>
      <c r="C156">
        <v>1201</v>
      </c>
      <c r="D156">
        <v>1.139</v>
      </c>
      <c r="E156">
        <v>161.9</v>
      </c>
      <c r="F156">
        <v>163.1</v>
      </c>
      <c r="G156">
        <v>797.2</v>
      </c>
      <c r="H156">
        <v>1789.7</v>
      </c>
      <c r="I156">
        <v>2586.9</v>
      </c>
      <c r="J156">
        <v>798.6</v>
      </c>
      <c r="K156">
        <v>1984.2</v>
      </c>
      <c r="L156">
        <v>2782.8</v>
      </c>
      <c r="M156">
        <v>2.2164000000000001</v>
      </c>
      <c r="N156">
        <v>4.3026</v>
      </c>
      <c r="O156">
        <v>6.5190999999999999</v>
      </c>
    </row>
    <row r="157" spans="1:15" x14ac:dyDescent="0.3">
      <c r="A157">
        <v>190</v>
      </c>
      <c r="B157">
        <v>463.15</v>
      </c>
      <c r="C157">
        <v>1255.0999999999999</v>
      </c>
      <c r="D157">
        <v>1.1419999999999999</v>
      </c>
      <c r="E157">
        <v>155.19999999999999</v>
      </c>
      <c r="F157">
        <v>156.30000000000001</v>
      </c>
      <c r="G157">
        <v>806.1</v>
      </c>
      <c r="H157">
        <v>1782</v>
      </c>
      <c r="I157">
        <v>2588.1</v>
      </c>
      <c r="J157">
        <v>807.5</v>
      </c>
      <c r="K157">
        <v>1976.7</v>
      </c>
      <c r="L157">
        <v>2784.3</v>
      </c>
      <c r="M157">
        <v>2.2355999999999998</v>
      </c>
      <c r="N157">
        <v>4.2679999999999998</v>
      </c>
      <c r="O157">
        <v>6.5035999999999996</v>
      </c>
    </row>
    <row r="158" spans="1:15" x14ac:dyDescent="0.3">
      <c r="A158">
        <v>192</v>
      </c>
      <c r="B158">
        <v>465.15</v>
      </c>
      <c r="C158">
        <v>1311.1</v>
      </c>
      <c r="D158">
        <v>1.1439999999999999</v>
      </c>
      <c r="E158">
        <v>148.80000000000001</v>
      </c>
      <c r="F158">
        <v>149.9</v>
      </c>
      <c r="G158">
        <v>814.9</v>
      </c>
      <c r="H158">
        <v>1774.2</v>
      </c>
      <c r="I158">
        <v>2589.1999999999998</v>
      </c>
      <c r="J158">
        <v>816.5</v>
      </c>
      <c r="K158">
        <v>1969.3</v>
      </c>
      <c r="L158">
        <v>2785.7</v>
      </c>
      <c r="M158">
        <v>2.2547000000000001</v>
      </c>
      <c r="N158">
        <v>4.2336</v>
      </c>
      <c r="O158">
        <v>6.4882999999999997</v>
      </c>
    </row>
    <row r="159" spans="1:15" x14ac:dyDescent="0.3">
      <c r="A159">
        <v>194</v>
      </c>
      <c r="B159">
        <v>467.15</v>
      </c>
      <c r="C159">
        <v>1369</v>
      </c>
      <c r="D159">
        <v>1.147</v>
      </c>
      <c r="E159">
        <v>142.6</v>
      </c>
      <c r="F159">
        <v>143.80000000000001</v>
      </c>
      <c r="G159">
        <v>823.8</v>
      </c>
      <c r="H159">
        <v>1766.4</v>
      </c>
      <c r="I159">
        <v>2590.1999999999998</v>
      </c>
      <c r="J159">
        <v>825.4</v>
      </c>
      <c r="K159">
        <v>1961.7</v>
      </c>
      <c r="L159">
        <v>2787.1</v>
      </c>
      <c r="M159">
        <v>2.2738</v>
      </c>
      <c r="N159">
        <v>4.1993</v>
      </c>
      <c r="O159">
        <v>6.4729999999999999</v>
      </c>
    </row>
    <row r="160" spans="1:15" x14ac:dyDescent="0.3">
      <c r="A160">
        <v>196</v>
      </c>
      <c r="B160">
        <v>469.15</v>
      </c>
      <c r="C160">
        <v>1428.9</v>
      </c>
      <c r="D160">
        <v>1.1499999999999999</v>
      </c>
      <c r="E160">
        <v>136.80000000000001</v>
      </c>
      <c r="F160">
        <v>138</v>
      </c>
      <c r="G160">
        <v>832.7</v>
      </c>
      <c r="H160">
        <v>1758.6</v>
      </c>
      <c r="I160">
        <v>2591.3000000000002</v>
      </c>
      <c r="J160">
        <v>834.4</v>
      </c>
      <c r="K160">
        <v>1954.1</v>
      </c>
      <c r="L160">
        <v>2788.4</v>
      </c>
      <c r="M160">
        <v>2.2928000000000002</v>
      </c>
      <c r="N160">
        <v>4.1650999999999998</v>
      </c>
      <c r="O160">
        <v>6.4577999999999998</v>
      </c>
    </row>
    <row r="161" spans="1:15" x14ac:dyDescent="0.3">
      <c r="A161">
        <v>198</v>
      </c>
      <c r="B161">
        <v>471.15</v>
      </c>
      <c r="C161">
        <v>1490.9</v>
      </c>
      <c r="D161">
        <v>1.153</v>
      </c>
      <c r="E161">
        <v>131.30000000000001</v>
      </c>
      <c r="F161">
        <v>132.4</v>
      </c>
      <c r="G161">
        <v>841.6</v>
      </c>
      <c r="H161">
        <v>1750.6</v>
      </c>
      <c r="I161">
        <v>2592.3000000000002</v>
      </c>
      <c r="J161">
        <v>843.4</v>
      </c>
      <c r="K161">
        <v>1946.4</v>
      </c>
      <c r="L161">
        <v>2789.7</v>
      </c>
      <c r="M161">
        <v>2.3117000000000001</v>
      </c>
      <c r="N161">
        <v>4.1310000000000002</v>
      </c>
      <c r="O161">
        <v>6.4428000000000001</v>
      </c>
    </row>
    <row r="162" spans="1:15" x14ac:dyDescent="0.3">
      <c r="A162">
        <v>200</v>
      </c>
      <c r="B162">
        <v>473.15</v>
      </c>
      <c r="C162">
        <v>1554.9</v>
      </c>
      <c r="D162">
        <v>1.1559999999999999</v>
      </c>
      <c r="E162">
        <v>126</v>
      </c>
      <c r="F162">
        <v>127.2</v>
      </c>
      <c r="G162">
        <v>850.6</v>
      </c>
      <c r="H162">
        <v>1742.6</v>
      </c>
      <c r="I162">
        <v>2593.1999999999998</v>
      </c>
      <c r="J162">
        <v>852.4</v>
      </c>
      <c r="K162">
        <v>1938.6</v>
      </c>
      <c r="L162">
        <v>2790.9</v>
      </c>
      <c r="M162">
        <v>2.3307000000000002</v>
      </c>
      <c r="N162">
        <v>4.0971000000000002</v>
      </c>
      <c r="O162">
        <v>6.4278000000000004</v>
      </c>
    </row>
    <row r="163" spans="1:15" x14ac:dyDescent="0.3">
      <c r="A163">
        <v>202</v>
      </c>
      <c r="B163">
        <v>475.15</v>
      </c>
      <c r="C163">
        <v>1621</v>
      </c>
      <c r="D163">
        <v>1.1599999999999999</v>
      </c>
      <c r="E163">
        <v>121</v>
      </c>
      <c r="F163">
        <v>122.1</v>
      </c>
      <c r="G163">
        <v>859.5</v>
      </c>
      <c r="H163">
        <v>1734.6</v>
      </c>
      <c r="I163">
        <v>2594.1</v>
      </c>
      <c r="J163">
        <v>861.4</v>
      </c>
      <c r="K163">
        <v>1930.7</v>
      </c>
      <c r="L163">
        <v>2792.1</v>
      </c>
      <c r="M163">
        <v>2.3494999999999999</v>
      </c>
      <c r="N163">
        <v>4.0632999999999999</v>
      </c>
      <c r="O163">
        <v>6.4127999999999998</v>
      </c>
    </row>
    <row r="164" spans="1:15" x14ac:dyDescent="0.3">
      <c r="A164">
        <v>204</v>
      </c>
      <c r="B164">
        <v>477.15</v>
      </c>
      <c r="C164">
        <v>1689.3</v>
      </c>
      <c r="D164">
        <v>1.163</v>
      </c>
      <c r="E164">
        <v>116.2</v>
      </c>
      <c r="F164">
        <v>117.3</v>
      </c>
      <c r="G164">
        <v>868.5</v>
      </c>
      <c r="H164">
        <v>1726.5</v>
      </c>
      <c r="I164">
        <v>2595</v>
      </c>
      <c r="J164">
        <v>870.5</v>
      </c>
      <c r="K164">
        <v>1922.8</v>
      </c>
      <c r="L164">
        <v>2793.2</v>
      </c>
      <c r="M164">
        <v>2.3683999999999998</v>
      </c>
      <c r="N164">
        <v>4.0296000000000003</v>
      </c>
      <c r="O164">
        <v>6.3979999999999997</v>
      </c>
    </row>
    <row r="165" spans="1:15" x14ac:dyDescent="0.3">
      <c r="A165">
        <v>206</v>
      </c>
      <c r="B165">
        <v>479.15</v>
      </c>
      <c r="C165">
        <v>1759.8</v>
      </c>
      <c r="D165">
        <v>1.1659999999999999</v>
      </c>
      <c r="E165">
        <v>111.6</v>
      </c>
      <c r="F165">
        <v>112.8</v>
      </c>
      <c r="G165">
        <v>877.5</v>
      </c>
      <c r="H165">
        <v>1718.3</v>
      </c>
      <c r="I165">
        <v>2595.8000000000002</v>
      </c>
      <c r="J165">
        <v>879.5</v>
      </c>
      <c r="K165">
        <v>1914.7</v>
      </c>
      <c r="L165">
        <v>2794.3</v>
      </c>
      <c r="M165">
        <v>2.3872</v>
      </c>
      <c r="N165">
        <v>3.9961000000000002</v>
      </c>
      <c r="O165">
        <v>6.3832000000000004</v>
      </c>
    </row>
    <row r="166" spans="1:15" x14ac:dyDescent="0.3">
      <c r="A166">
        <v>208</v>
      </c>
      <c r="B166">
        <v>481.15</v>
      </c>
      <c r="C166">
        <v>1832.6</v>
      </c>
      <c r="D166">
        <v>1.169</v>
      </c>
      <c r="E166">
        <v>107.2</v>
      </c>
      <c r="F166">
        <v>108.4</v>
      </c>
      <c r="G166">
        <v>886.5</v>
      </c>
      <c r="H166">
        <v>1710.1</v>
      </c>
      <c r="I166">
        <v>2596.6</v>
      </c>
      <c r="J166">
        <v>888.6</v>
      </c>
      <c r="K166">
        <v>1906.6</v>
      </c>
      <c r="L166">
        <v>2795.3</v>
      </c>
      <c r="M166">
        <v>2.4058999999999999</v>
      </c>
      <c r="N166">
        <v>3.9626000000000001</v>
      </c>
      <c r="O166">
        <v>6.3685999999999998</v>
      </c>
    </row>
    <row r="167" spans="1:15" x14ac:dyDescent="0.3">
      <c r="A167">
        <v>210</v>
      </c>
      <c r="B167">
        <v>483.15</v>
      </c>
      <c r="C167">
        <v>1907.7</v>
      </c>
      <c r="D167">
        <v>1.173</v>
      </c>
      <c r="E167">
        <v>103.1</v>
      </c>
      <c r="F167">
        <v>104.2</v>
      </c>
      <c r="G167">
        <v>895.5</v>
      </c>
      <c r="H167">
        <v>1701.8</v>
      </c>
      <c r="I167">
        <v>2597.3000000000002</v>
      </c>
      <c r="J167">
        <v>897.7</v>
      </c>
      <c r="K167">
        <v>1898.5</v>
      </c>
      <c r="L167">
        <v>2796.2</v>
      </c>
      <c r="M167">
        <v>2.4247000000000001</v>
      </c>
      <c r="N167">
        <v>3.9293</v>
      </c>
      <c r="O167">
        <v>6.3539000000000003</v>
      </c>
    </row>
    <row r="168" spans="1:15" x14ac:dyDescent="0.3">
      <c r="A168">
        <v>212</v>
      </c>
      <c r="B168">
        <v>485.15</v>
      </c>
      <c r="C168">
        <v>1985.2</v>
      </c>
      <c r="D168">
        <v>1.1759999999999999</v>
      </c>
      <c r="E168">
        <v>99.09</v>
      </c>
      <c r="F168">
        <v>100.26</v>
      </c>
      <c r="G168">
        <v>904.5</v>
      </c>
      <c r="H168">
        <v>1693.5</v>
      </c>
      <c r="I168">
        <v>2598</v>
      </c>
      <c r="J168">
        <v>906.9</v>
      </c>
      <c r="K168">
        <v>1890.2</v>
      </c>
      <c r="L168">
        <v>2797.1</v>
      </c>
      <c r="M168">
        <v>2.4434</v>
      </c>
      <c r="N168">
        <v>3.8959999999999999</v>
      </c>
      <c r="O168">
        <v>6.3394000000000004</v>
      </c>
    </row>
    <row r="169" spans="1:15" x14ac:dyDescent="0.3">
      <c r="A169">
        <v>214</v>
      </c>
      <c r="B169">
        <v>487.15</v>
      </c>
      <c r="C169">
        <v>2065.1</v>
      </c>
      <c r="D169">
        <v>1.179</v>
      </c>
      <c r="E169">
        <v>95.28</v>
      </c>
      <c r="F169">
        <v>96.46</v>
      </c>
      <c r="G169">
        <v>913.6</v>
      </c>
      <c r="H169">
        <v>1685.1</v>
      </c>
      <c r="I169">
        <v>2598.6999999999998</v>
      </c>
      <c r="J169">
        <v>916</v>
      </c>
      <c r="K169">
        <v>1881.8</v>
      </c>
      <c r="L169">
        <v>2797.9</v>
      </c>
      <c r="M169">
        <v>2.4620000000000002</v>
      </c>
      <c r="N169">
        <v>3.8628999999999998</v>
      </c>
      <c r="O169">
        <v>6.3249000000000004</v>
      </c>
    </row>
    <row r="170" spans="1:15" x14ac:dyDescent="0.3">
      <c r="A170">
        <v>216</v>
      </c>
      <c r="B170">
        <v>489.15</v>
      </c>
      <c r="C170">
        <v>2147.5</v>
      </c>
      <c r="D170">
        <v>1.1830000000000001</v>
      </c>
      <c r="E170">
        <v>91.65</v>
      </c>
      <c r="F170">
        <v>92.83</v>
      </c>
      <c r="G170">
        <v>922.7</v>
      </c>
      <c r="H170">
        <v>1676.6</v>
      </c>
      <c r="I170">
        <v>2599.3000000000002</v>
      </c>
      <c r="J170">
        <v>925.2</v>
      </c>
      <c r="K170">
        <v>1873.4</v>
      </c>
      <c r="L170">
        <v>2798.6</v>
      </c>
      <c r="M170">
        <v>2.4805999999999999</v>
      </c>
      <c r="N170">
        <v>3.8298000000000001</v>
      </c>
      <c r="O170">
        <v>6.3103999999999996</v>
      </c>
    </row>
    <row r="171" spans="1:15" x14ac:dyDescent="0.3">
      <c r="A171">
        <v>218</v>
      </c>
      <c r="B171">
        <v>491.15</v>
      </c>
      <c r="C171">
        <v>2232.4</v>
      </c>
      <c r="D171">
        <v>1.1859999999999999</v>
      </c>
      <c r="E171">
        <v>88.17</v>
      </c>
      <c r="F171">
        <v>89.36</v>
      </c>
      <c r="G171">
        <v>931.8</v>
      </c>
      <c r="H171">
        <v>1668</v>
      </c>
      <c r="I171">
        <v>2599.8000000000002</v>
      </c>
      <c r="J171">
        <v>934.4</v>
      </c>
      <c r="K171">
        <v>1864.9</v>
      </c>
      <c r="L171">
        <v>2799.3</v>
      </c>
      <c r="M171">
        <v>2.4992000000000001</v>
      </c>
      <c r="N171">
        <v>3.7968000000000002</v>
      </c>
      <c r="O171">
        <v>6.2960000000000003</v>
      </c>
    </row>
    <row r="172" spans="1:15" x14ac:dyDescent="0.3">
      <c r="A172">
        <v>220</v>
      </c>
      <c r="B172">
        <v>493.15</v>
      </c>
      <c r="C172">
        <v>2319.8000000000002</v>
      </c>
      <c r="D172">
        <v>1.19</v>
      </c>
      <c r="E172">
        <v>84.85</v>
      </c>
      <c r="F172">
        <v>86.04</v>
      </c>
      <c r="G172">
        <v>940.9</v>
      </c>
      <c r="H172">
        <v>1659.4</v>
      </c>
      <c r="I172">
        <v>2600.3000000000002</v>
      </c>
      <c r="J172">
        <v>943.7</v>
      </c>
      <c r="K172">
        <v>1856.2</v>
      </c>
      <c r="L172">
        <v>2799.9</v>
      </c>
      <c r="M172">
        <v>2.5177999999999998</v>
      </c>
      <c r="N172">
        <v>3.7639</v>
      </c>
      <c r="O172">
        <v>6.2816999999999998</v>
      </c>
    </row>
    <row r="173" spans="1:15" x14ac:dyDescent="0.3">
      <c r="A173">
        <v>222</v>
      </c>
      <c r="B173">
        <v>495.15</v>
      </c>
      <c r="C173">
        <v>2409.9</v>
      </c>
      <c r="D173">
        <v>1.194</v>
      </c>
      <c r="E173">
        <v>81.67</v>
      </c>
      <c r="F173">
        <v>82.86</v>
      </c>
      <c r="G173">
        <v>950.1</v>
      </c>
      <c r="H173">
        <v>1650.7</v>
      </c>
      <c r="I173">
        <v>2600.8000000000002</v>
      </c>
      <c r="J173">
        <v>952.9</v>
      </c>
      <c r="K173">
        <v>1847.5</v>
      </c>
      <c r="L173">
        <v>2800.5</v>
      </c>
      <c r="M173">
        <v>2.5363000000000002</v>
      </c>
      <c r="N173">
        <v>3.7311000000000001</v>
      </c>
      <c r="O173">
        <v>6.2674000000000003</v>
      </c>
    </row>
    <row r="174" spans="1:15" x14ac:dyDescent="0.3">
      <c r="A174">
        <v>224</v>
      </c>
      <c r="B174">
        <v>497.15</v>
      </c>
      <c r="C174">
        <v>2502.6999999999998</v>
      </c>
      <c r="D174">
        <v>1.1970000000000001</v>
      </c>
      <c r="E174">
        <v>78.62</v>
      </c>
      <c r="F174">
        <v>79.819999999999993</v>
      </c>
      <c r="G174">
        <v>959.2</v>
      </c>
      <c r="H174">
        <v>1642</v>
      </c>
      <c r="I174">
        <v>2601.1999999999998</v>
      </c>
      <c r="J174">
        <v>962.2</v>
      </c>
      <c r="K174">
        <v>1838.7</v>
      </c>
      <c r="L174">
        <v>2800.9</v>
      </c>
      <c r="M174">
        <v>2.5548000000000002</v>
      </c>
      <c r="N174">
        <v>3.6983999999999999</v>
      </c>
      <c r="O174">
        <v>6.2531999999999996</v>
      </c>
    </row>
    <row r="175" spans="1:15" x14ac:dyDescent="0.3">
      <c r="A175">
        <v>226</v>
      </c>
      <c r="B175">
        <v>499.15</v>
      </c>
      <c r="C175">
        <v>2598.1999999999998</v>
      </c>
      <c r="D175">
        <v>1.2010000000000001</v>
      </c>
      <c r="E175">
        <v>75.709999999999994</v>
      </c>
      <c r="F175">
        <v>76.91</v>
      </c>
      <c r="G175">
        <v>968.4</v>
      </c>
      <c r="H175">
        <v>1633.1</v>
      </c>
      <c r="I175">
        <v>2601.5</v>
      </c>
      <c r="J175">
        <v>971.5</v>
      </c>
      <c r="K175">
        <v>1829.8</v>
      </c>
      <c r="L175">
        <v>2801.4</v>
      </c>
      <c r="M175">
        <v>2.5733000000000001</v>
      </c>
      <c r="N175">
        <v>3.6657000000000002</v>
      </c>
      <c r="O175">
        <v>6.2389999999999999</v>
      </c>
    </row>
    <row r="176" spans="1:15" x14ac:dyDescent="0.3">
      <c r="A176">
        <v>228</v>
      </c>
      <c r="B176">
        <v>501.15</v>
      </c>
      <c r="C176">
        <v>2696.5</v>
      </c>
      <c r="D176">
        <v>1.2050000000000001</v>
      </c>
      <c r="E176">
        <v>72.92</v>
      </c>
      <c r="F176">
        <v>74.12</v>
      </c>
      <c r="G176">
        <v>977.6</v>
      </c>
      <c r="H176">
        <v>1624.2</v>
      </c>
      <c r="I176">
        <v>2601.8000000000002</v>
      </c>
      <c r="J176">
        <v>980.9</v>
      </c>
      <c r="K176">
        <v>1820.8</v>
      </c>
      <c r="L176">
        <v>2801.7</v>
      </c>
      <c r="M176">
        <v>2.5916999999999999</v>
      </c>
      <c r="N176">
        <v>3.6331000000000002</v>
      </c>
      <c r="O176">
        <v>6.2248999999999999</v>
      </c>
    </row>
    <row r="177" spans="1:15" x14ac:dyDescent="0.3">
      <c r="A177">
        <v>230</v>
      </c>
      <c r="B177">
        <v>503.15</v>
      </c>
      <c r="C177">
        <v>2797.6</v>
      </c>
      <c r="D177">
        <v>1.2090000000000001</v>
      </c>
      <c r="E177">
        <v>70.239999999999995</v>
      </c>
      <c r="F177">
        <v>71.45</v>
      </c>
      <c r="G177">
        <v>986.9</v>
      </c>
      <c r="H177">
        <v>1615.2</v>
      </c>
      <c r="I177">
        <v>2602.1</v>
      </c>
      <c r="J177">
        <v>990.3</v>
      </c>
      <c r="K177">
        <v>1811.7</v>
      </c>
      <c r="L177">
        <v>2802</v>
      </c>
      <c r="M177">
        <v>2.6101999999999999</v>
      </c>
      <c r="N177">
        <v>3.6006</v>
      </c>
      <c r="O177">
        <v>6.2107000000000001</v>
      </c>
    </row>
    <row r="178" spans="1:15" x14ac:dyDescent="0.3">
      <c r="A178">
        <v>232</v>
      </c>
      <c r="B178">
        <v>505.15</v>
      </c>
      <c r="C178">
        <v>2901.6</v>
      </c>
      <c r="D178">
        <v>1.2130000000000001</v>
      </c>
      <c r="E178">
        <v>67.680000000000007</v>
      </c>
      <c r="F178">
        <v>68.89</v>
      </c>
      <c r="G178">
        <v>996.2</v>
      </c>
      <c r="H178">
        <v>1606.1</v>
      </c>
      <c r="I178">
        <v>2602.3000000000002</v>
      </c>
      <c r="J178">
        <v>999.7</v>
      </c>
      <c r="K178">
        <v>1802.5</v>
      </c>
      <c r="L178">
        <v>2802.2</v>
      </c>
      <c r="M178">
        <v>2.6286</v>
      </c>
      <c r="N178">
        <v>3.5680999999999998</v>
      </c>
      <c r="O178">
        <v>6.1966999999999999</v>
      </c>
    </row>
    <row r="179" spans="1:15" x14ac:dyDescent="0.3">
      <c r="A179">
        <v>234</v>
      </c>
      <c r="B179">
        <v>507.15</v>
      </c>
      <c r="C179">
        <v>3008.6</v>
      </c>
      <c r="D179">
        <v>1.2170000000000001</v>
      </c>
      <c r="E179">
        <v>65.22</v>
      </c>
      <c r="F179">
        <v>66.430000000000007</v>
      </c>
      <c r="G179">
        <v>1005.4</v>
      </c>
      <c r="H179">
        <v>1597</v>
      </c>
      <c r="I179">
        <v>2602.4</v>
      </c>
      <c r="J179">
        <v>1009.1</v>
      </c>
      <c r="K179">
        <v>1793.2</v>
      </c>
      <c r="L179">
        <v>2802.3</v>
      </c>
      <c r="M179">
        <v>2.6469999999999998</v>
      </c>
      <c r="N179">
        <v>3.5356000000000001</v>
      </c>
      <c r="O179">
        <v>6.1825999999999999</v>
      </c>
    </row>
    <row r="180" spans="1:15" x14ac:dyDescent="0.3">
      <c r="A180">
        <v>236</v>
      </c>
      <c r="B180">
        <v>509.15</v>
      </c>
      <c r="C180">
        <v>3118.6</v>
      </c>
      <c r="D180">
        <v>1.2210000000000001</v>
      </c>
      <c r="E180">
        <v>62.86</v>
      </c>
      <c r="F180">
        <v>64.08</v>
      </c>
      <c r="G180">
        <v>1014.8</v>
      </c>
      <c r="H180">
        <v>1587.7</v>
      </c>
      <c r="I180">
        <v>2602.5</v>
      </c>
      <c r="J180">
        <v>1018.6</v>
      </c>
      <c r="K180">
        <v>1783.8</v>
      </c>
      <c r="L180">
        <v>2802.3</v>
      </c>
      <c r="M180">
        <v>2.6652999999999998</v>
      </c>
      <c r="N180">
        <v>3.5032999999999999</v>
      </c>
      <c r="O180">
        <v>6.1685999999999996</v>
      </c>
    </row>
    <row r="181" spans="1:15" x14ac:dyDescent="0.3">
      <c r="A181">
        <v>238</v>
      </c>
      <c r="B181">
        <v>511.15</v>
      </c>
      <c r="C181">
        <v>3231.7</v>
      </c>
      <c r="D181">
        <v>1.2250000000000001</v>
      </c>
      <c r="E181">
        <v>60.6</v>
      </c>
      <c r="F181">
        <v>61.82</v>
      </c>
      <c r="G181">
        <v>1024.0999999999999</v>
      </c>
      <c r="H181">
        <v>1578.4</v>
      </c>
      <c r="I181">
        <v>2602.5</v>
      </c>
      <c r="J181">
        <v>1028.0999999999999</v>
      </c>
      <c r="K181">
        <v>1774.2</v>
      </c>
      <c r="L181">
        <v>2802.3</v>
      </c>
      <c r="M181">
        <v>2.6837</v>
      </c>
      <c r="N181">
        <v>3.4708999999999999</v>
      </c>
      <c r="O181">
        <v>6.1546000000000003</v>
      </c>
    </row>
    <row r="182" spans="1:15" x14ac:dyDescent="0.3">
      <c r="A182">
        <v>240</v>
      </c>
      <c r="B182">
        <v>513.15</v>
      </c>
      <c r="C182">
        <v>3347.8</v>
      </c>
      <c r="D182">
        <v>1.2290000000000001</v>
      </c>
      <c r="E182">
        <v>58.43</v>
      </c>
      <c r="F182">
        <v>59.65</v>
      </c>
      <c r="G182">
        <v>1033.5</v>
      </c>
      <c r="H182">
        <v>1569</v>
      </c>
      <c r="I182">
        <v>2602.5</v>
      </c>
      <c r="J182">
        <v>1037.5999999999999</v>
      </c>
      <c r="K182">
        <v>1764.6</v>
      </c>
      <c r="L182">
        <v>2802.2</v>
      </c>
      <c r="M182">
        <v>2.702</v>
      </c>
      <c r="N182">
        <v>3.4386000000000001</v>
      </c>
      <c r="O182">
        <v>6.1406000000000001</v>
      </c>
    </row>
    <row r="183" spans="1:15" x14ac:dyDescent="0.3">
      <c r="A183">
        <v>242</v>
      </c>
      <c r="B183">
        <v>515.15</v>
      </c>
      <c r="C183">
        <v>3467.2</v>
      </c>
      <c r="D183">
        <v>1.2330000000000001</v>
      </c>
      <c r="E183">
        <v>56.34</v>
      </c>
      <c r="F183">
        <v>57.57</v>
      </c>
      <c r="G183">
        <v>1042.9000000000001</v>
      </c>
      <c r="H183">
        <v>1559.5</v>
      </c>
      <c r="I183">
        <v>2602.4</v>
      </c>
      <c r="J183">
        <v>1047.2</v>
      </c>
      <c r="K183">
        <v>1754.9</v>
      </c>
      <c r="L183">
        <v>2802</v>
      </c>
      <c r="M183">
        <v>2.7202999999999999</v>
      </c>
      <c r="N183">
        <v>3.4062999999999999</v>
      </c>
      <c r="O183">
        <v>6.1265999999999998</v>
      </c>
    </row>
    <row r="184" spans="1:15" x14ac:dyDescent="0.3">
      <c r="A184">
        <v>244</v>
      </c>
      <c r="B184">
        <v>517.15</v>
      </c>
      <c r="C184">
        <v>3589.8</v>
      </c>
      <c r="D184">
        <v>1.238</v>
      </c>
      <c r="E184">
        <v>54.34</v>
      </c>
      <c r="F184">
        <v>55.58</v>
      </c>
      <c r="G184">
        <v>1052.3</v>
      </c>
      <c r="H184">
        <v>1549.9</v>
      </c>
      <c r="I184">
        <v>2602.1999999999998</v>
      </c>
      <c r="J184">
        <v>1056.8</v>
      </c>
      <c r="K184">
        <v>1745</v>
      </c>
      <c r="L184">
        <v>2801.8</v>
      </c>
      <c r="M184">
        <v>2.7385999999999999</v>
      </c>
      <c r="N184">
        <v>3.3740000000000001</v>
      </c>
      <c r="O184">
        <v>6.1127000000000002</v>
      </c>
    </row>
    <row r="185" spans="1:15" x14ac:dyDescent="0.3">
      <c r="A185">
        <v>246</v>
      </c>
      <c r="B185">
        <v>519.15</v>
      </c>
      <c r="C185">
        <v>3715.7</v>
      </c>
      <c r="D185">
        <v>1.242</v>
      </c>
      <c r="E185">
        <v>52.41</v>
      </c>
      <c r="F185">
        <v>53.66</v>
      </c>
      <c r="G185">
        <v>1061.8</v>
      </c>
      <c r="H185">
        <v>1540.2</v>
      </c>
      <c r="I185">
        <v>2602</v>
      </c>
      <c r="J185">
        <v>1066.4000000000001</v>
      </c>
      <c r="K185">
        <v>1735</v>
      </c>
      <c r="L185">
        <v>2801.4</v>
      </c>
      <c r="M185">
        <v>2.7568999999999999</v>
      </c>
      <c r="N185">
        <v>3.3418000000000001</v>
      </c>
      <c r="O185">
        <v>6.0987</v>
      </c>
    </row>
    <row r="186" spans="1:15" x14ac:dyDescent="0.3">
      <c r="A186">
        <v>248</v>
      </c>
      <c r="B186">
        <v>521.15</v>
      </c>
      <c r="C186">
        <v>3844.9</v>
      </c>
      <c r="D186">
        <v>1.2470000000000001</v>
      </c>
      <c r="E186">
        <v>50.56</v>
      </c>
      <c r="F186">
        <v>51.81</v>
      </c>
      <c r="G186">
        <v>1071.3</v>
      </c>
      <c r="H186">
        <v>1530.5</v>
      </c>
      <c r="I186">
        <v>2601.8000000000002</v>
      </c>
      <c r="J186">
        <v>1076.0999999999999</v>
      </c>
      <c r="K186">
        <v>1724.9</v>
      </c>
      <c r="L186">
        <v>2801</v>
      </c>
      <c r="M186">
        <v>2.7751999999999999</v>
      </c>
      <c r="N186">
        <v>3.3096000000000001</v>
      </c>
      <c r="O186">
        <v>6.0848000000000004</v>
      </c>
    </row>
    <row r="187" spans="1:15" x14ac:dyDescent="0.3">
      <c r="A187">
        <v>250</v>
      </c>
      <c r="B187">
        <v>523.15</v>
      </c>
      <c r="C187">
        <v>3977.6</v>
      </c>
      <c r="D187">
        <v>1.2509999999999999</v>
      </c>
      <c r="E187">
        <v>48.79</v>
      </c>
      <c r="F187">
        <v>50.04</v>
      </c>
      <c r="G187">
        <v>1080.8</v>
      </c>
      <c r="H187">
        <v>1520.6</v>
      </c>
      <c r="I187">
        <v>2601.4</v>
      </c>
      <c r="J187">
        <v>1085.8</v>
      </c>
      <c r="K187">
        <v>1714.7</v>
      </c>
      <c r="L187">
        <v>2800.4</v>
      </c>
      <c r="M187">
        <v>2.7934999999999999</v>
      </c>
      <c r="N187">
        <v>3.2772999999999999</v>
      </c>
      <c r="O187">
        <v>6.0708000000000002</v>
      </c>
    </row>
    <row r="188" spans="1:15" x14ac:dyDescent="0.3">
      <c r="A188">
        <v>252</v>
      </c>
      <c r="B188">
        <v>525.15</v>
      </c>
      <c r="C188">
        <v>4113.7</v>
      </c>
      <c r="D188">
        <v>1.256</v>
      </c>
      <c r="E188">
        <v>47.08</v>
      </c>
      <c r="F188">
        <v>48.33</v>
      </c>
      <c r="G188">
        <v>1090.4000000000001</v>
      </c>
      <c r="H188">
        <v>1510.6</v>
      </c>
      <c r="I188">
        <v>2601</v>
      </c>
      <c r="J188">
        <v>1095.5</v>
      </c>
      <c r="K188">
        <v>1704.3</v>
      </c>
      <c r="L188">
        <v>2799.8</v>
      </c>
      <c r="M188">
        <v>2.8117999999999999</v>
      </c>
      <c r="N188">
        <v>3.2450999999999999</v>
      </c>
      <c r="O188">
        <v>6.0568999999999997</v>
      </c>
    </row>
    <row r="189" spans="1:15" x14ac:dyDescent="0.3">
      <c r="A189">
        <v>254</v>
      </c>
      <c r="B189">
        <v>527.15</v>
      </c>
      <c r="C189">
        <v>4253.3999999999996</v>
      </c>
      <c r="D189">
        <v>1.2609999999999999</v>
      </c>
      <c r="E189">
        <v>45.43</v>
      </c>
      <c r="F189">
        <v>46.69</v>
      </c>
      <c r="G189">
        <v>1100</v>
      </c>
      <c r="H189">
        <v>1500.5</v>
      </c>
      <c r="I189">
        <v>2600.5</v>
      </c>
      <c r="J189">
        <v>1105.3</v>
      </c>
      <c r="K189">
        <v>1693.8</v>
      </c>
      <c r="L189">
        <v>2799.1</v>
      </c>
      <c r="M189">
        <v>2.83</v>
      </c>
      <c r="N189">
        <v>3.2128999999999999</v>
      </c>
      <c r="O189">
        <v>6.0429000000000004</v>
      </c>
    </row>
    <row r="190" spans="1:15" x14ac:dyDescent="0.3">
      <c r="A190">
        <v>256</v>
      </c>
      <c r="B190">
        <v>529.15</v>
      </c>
      <c r="C190">
        <v>4396.7</v>
      </c>
      <c r="D190">
        <v>1.266</v>
      </c>
      <c r="E190">
        <v>43.85</v>
      </c>
      <c r="F190">
        <v>45.11</v>
      </c>
      <c r="G190">
        <v>1109.5999999999999</v>
      </c>
      <c r="H190">
        <v>1490.4</v>
      </c>
      <c r="I190">
        <v>2600</v>
      </c>
      <c r="J190">
        <v>1115.2</v>
      </c>
      <c r="K190">
        <v>1683.2</v>
      </c>
      <c r="L190">
        <v>2798.3</v>
      </c>
      <c r="M190">
        <v>2.8483000000000001</v>
      </c>
      <c r="N190">
        <v>3.1806999999999999</v>
      </c>
      <c r="O190">
        <v>6.0289999999999999</v>
      </c>
    </row>
    <row r="191" spans="1:15" x14ac:dyDescent="0.3">
      <c r="A191">
        <v>258</v>
      </c>
      <c r="B191">
        <v>531.15</v>
      </c>
      <c r="C191">
        <v>4543.7</v>
      </c>
      <c r="D191">
        <v>1.2709999999999999</v>
      </c>
      <c r="E191">
        <v>42.33</v>
      </c>
      <c r="F191">
        <v>43.6</v>
      </c>
      <c r="G191">
        <v>1119.3</v>
      </c>
      <c r="H191">
        <v>1480.1</v>
      </c>
      <c r="I191">
        <v>2599.3000000000002</v>
      </c>
      <c r="J191">
        <v>1125</v>
      </c>
      <c r="K191">
        <v>1672.4</v>
      </c>
      <c r="L191">
        <v>2797.4</v>
      </c>
      <c r="M191">
        <v>2.8666</v>
      </c>
      <c r="N191">
        <v>3.1484000000000001</v>
      </c>
      <c r="O191">
        <v>6.0149999999999997</v>
      </c>
    </row>
    <row r="192" spans="1:15" x14ac:dyDescent="0.3">
      <c r="A192">
        <v>260</v>
      </c>
      <c r="B192">
        <v>533.15</v>
      </c>
      <c r="C192">
        <v>4694.3</v>
      </c>
      <c r="D192">
        <v>1.276</v>
      </c>
      <c r="E192">
        <v>40.86</v>
      </c>
      <c r="F192">
        <v>42.13</v>
      </c>
      <c r="G192">
        <v>1129</v>
      </c>
      <c r="H192">
        <v>1469.7</v>
      </c>
      <c r="I192">
        <v>2598.6</v>
      </c>
      <c r="J192">
        <v>1134.9000000000001</v>
      </c>
      <c r="K192">
        <v>1661.5</v>
      </c>
      <c r="L192">
        <v>2796.4</v>
      </c>
      <c r="M192">
        <v>2.8847999999999998</v>
      </c>
      <c r="N192">
        <v>3.1160999999999999</v>
      </c>
      <c r="O192">
        <v>6.0010000000000003</v>
      </c>
    </row>
    <row r="193" spans="1:15" x14ac:dyDescent="0.3">
      <c r="A193">
        <v>262</v>
      </c>
      <c r="B193">
        <v>535.15</v>
      </c>
      <c r="C193">
        <v>4848.8</v>
      </c>
      <c r="D193">
        <v>1.2809999999999999</v>
      </c>
      <c r="E193">
        <v>39.44</v>
      </c>
      <c r="F193">
        <v>40.729999999999997</v>
      </c>
      <c r="G193">
        <v>1138.7</v>
      </c>
      <c r="H193">
        <v>1459.2</v>
      </c>
      <c r="I193">
        <v>2597.8000000000002</v>
      </c>
      <c r="J193">
        <v>1144.9000000000001</v>
      </c>
      <c r="K193">
        <v>1650.4</v>
      </c>
      <c r="L193">
        <v>2795.3</v>
      </c>
      <c r="M193">
        <v>2.9030999999999998</v>
      </c>
      <c r="N193">
        <v>3.0838000000000001</v>
      </c>
      <c r="O193">
        <v>5.9869000000000003</v>
      </c>
    </row>
    <row r="194" spans="1:15" x14ac:dyDescent="0.3">
      <c r="A194">
        <v>264</v>
      </c>
      <c r="B194">
        <v>537.15</v>
      </c>
      <c r="C194">
        <v>5007.1000000000004</v>
      </c>
      <c r="D194">
        <v>1.286</v>
      </c>
      <c r="E194">
        <v>38.08</v>
      </c>
      <c r="F194">
        <v>39.369999999999997</v>
      </c>
      <c r="G194">
        <v>1148.5</v>
      </c>
      <c r="H194">
        <v>1448.5</v>
      </c>
      <c r="I194">
        <v>2597</v>
      </c>
      <c r="J194">
        <v>1154.9000000000001</v>
      </c>
      <c r="K194">
        <v>1639.2</v>
      </c>
      <c r="L194">
        <v>2794.1</v>
      </c>
      <c r="M194">
        <v>2.9214000000000002</v>
      </c>
      <c r="N194">
        <v>3.0514999999999999</v>
      </c>
      <c r="O194">
        <v>5.9729000000000001</v>
      </c>
    </row>
    <row r="195" spans="1:15" x14ac:dyDescent="0.3">
      <c r="A195">
        <v>266</v>
      </c>
      <c r="B195">
        <v>539.15</v>
      </c>
      <c r="C195">
        <v>5169.3</v>
      </c>
      <c r="D195">
        <v>1.2909999999999999</v>
      </c>
      <c r="E195">
        <v>36.770000000000003</v>
      </c>
      <c r="F195">
        <v>38.06</v>
      </c>
      <c r="G195">
        <v>1158.3</v>
      </c>
      <c r="H195">
        <v>1437.8</v>
      </c>
      <c r="I195">
        <v>2596.1</v>
      </c>
      <c r="J195">
        <v>1165</v>
      </c>
      <c r="K195">
        <v>1627.8</v>
      </c>
      <c r="L195">
        <v>2792.8</v>
      </c>
      <c r="M195">
        <v>2.9397000000000002</v>
      </c>
      <c r="N195">
        <v>3.0190999999999999</v>
      </c>
      <c r="O195">
        <v>5.9588000000000001</v>
      </c>
    </row>
    <row r="196" spans="1:15" x14ac:dyDescent="0.3">
      <c r="A196">
        <v>268</v>
      </c>
      <c r="B196">
        <v>541.15</v>
      </c>
      <c r="C196">
        <v>5335.5</v>
      </c>
      <c r="D196">
        <v>1.2969999999999999</v>
      </c>
      <c r="E196">
        <v>35.51</v>
      </c>
      <c r="F196">
        <v>36.799999999999997</v>
      </c>
      <c r="G196">
        <v>1168.2</v>
      </c>
      <c r="H196">
        <v>1426.9</v>
      </c>
      <c r="I196">
        <v>2595</v>
      </c>
      <c r="J196">
        <v>1175.0999999999999</v>
      </c>
      <c r="K196">
        <v>1616.3</v>
      </c>
      <c r="L196">
        <v>2791.4</v>
      </c>
      <c r="M196">
        <v>2.9580000000000002</v>
      </c>
      <c r="N196">
        <v>2.9866000000000001</v>
      </c>
      <c r="O196">
        <v>5.9446000000000003</v>
      </c>
    </row>
    <row r="197" spans="1:15" x14ac:dyDescent="0.3">
      <c r="A197">
        <v>270</v>
      </c>
      <c r="B197">
        <v>543.15</v>
      </c>
      <c r="C197">
        <v>5505.8</v>
      </c>
      <c r="D197">
        <v>1.3029999999999999</v>
      </c>
      <c r="E197">
        <v>34.29</v>
      </c>
      <c r="F197">
        <v>35.590000000000003</v>
      </c>
      <c r="G197">
        <v>1178.0999999999999</v>
      </c>
      <c r="H197">
        <v>1415.9</v>
      </c>
      <c r="I197">
        <v>2593.9</v>
      </c>
      <c r="J197">
        <v>1185.2</v>
      </c>
      <c r="K197">
        <v>1604.6</v>
      </c>
      <c r="L197">
        <v>2789.9</v>
      </c>
      <c r="M197">
        <v>2.9763000000000002</v>
      </c>
      <c r="N197">
        <v>2.9540999999999999</v>
      </c>
      <c r="O197">
        <v>5.9303999999999997</v>
      </c>
    </row>
    <row r="198" spans="1:15" x14ac:dyDescent="0.3">
      <c r="A198">
        <v>272</v>
      </c>
      <c r="B198">
        <v>545.15</v>
      </c>
      <c r="C198">
        <v>5680.2</v>
      </c>
      <c r="D198">
        <v>1.3080000000000001</v>
      </c>
      <c r="E198">
        <v>33.11</v>
      </c>
      <c r="F198">
        <v>34.42</v>
      </c>
      <c r="G198">
        <v>1188</v>
      </c>
      <c r="H198">
        <v>1404.7</v>
      </c>
      <c r="I198">
        <v>2592.6999999999998</v>
      </c>
      <c r="J198">
        <v>1195.4000000000001</v>
      </c>
      <c r="K198">
        <v>1592.8</v>
      </c>
      <c r="L198">
        <v>2788.2</v>
      </c>
      <c r="M198">
        <v>2.9946999999999999</v>
      </c>
      <c r="N198">
        <v>2.9215</v>
      </c>
      <c r="O198">
        <v>5.9161999999999999</v>
      </c>
    </row>
    <row r="199" spans="1:15" x14ac:dyDescent="0.3">
      <c r="A199">
        <v>274</v>
      </c>
      <c r="B199">
        <v>547.15</v>
      </c>
      <c r="C199">
        <v>5858.7</v>
      </c>
      <c r="D199">
        <v>1.3140000000000001</v>
      </c>
      <c r="E199">
        <v>31.97</v>
      </c>
      <c r="F199">
        <v>33.29</v>
      </c>
      <c r="G199">
        <v>1198</v>
      </c>
      <c r="H199">
        <v>1393.4</v>
      </c>
      <c r="I199">
        <v>2591.4</v>
      </c>
      <c r="J199">
        <v>1205.7</v>
      </c>
      <c r="K199">
        <v>1580.8</v>
      </c>
      <c r="L199">
        <v>2786.5</v>
      </c>
      <c r="M199">
        <v>3.0131000000000001</v>
      </c>
      <c r="N199">
        <v>2.8889</v>
      </c>
      <c r="O199">
        <v>5.9019000000000004</v>
      </c>
    </row>
    <row r="200" spans="1:15" x14ac:dyDescent="0.3">
      <c r="A200">
        <v>276</v>
      </c>
      <c r="B200">
        <v>549.15</v>
      </c>
      <c r="C200">
        <v>6041.5</v>
      </c>
      <c r="D200">
        <v>1.32</v>
      </c>
      <c r="E200">
        <v>30.88</v>
      </c>
      <c r="F200">
        <v>32.200000000000003</v>
      </c>
      <c r="G200">
        <v>1208</v>
      </c>
      <c r="H200">
        <v>1382</v>
      </c>
      <c r="I200">
        <v>2590.1</v>
      </c>
      <c r="J200">
        <v>1216</v>
      </c>
      <c r="K200">
        <v>1568.5</v>
      </c>
      <c r="L200">
        <v>2784.6</v>
      </c>
      <c r="M200">
        <v>3.0314000000000001</v>
      </c>
      <c r="N200">
        <v>2.8561000000000001</v>
      </c>
      <c r="O200">
        <v>5.8875999999999999</v>
      </c>
    </row>
    <row r="201" spans="1:15" x14ac:dyDescent="0.3">
      <c r="A201">
        <v>278</v>
      </c>
      <c r="B201">
        <v>551.15</v>
      </c>
      <c r="C201">
        <v>6228.7</v>
      </c>
      <c r="D201">
        <v>1.3260000000000001</v>
      </c>
      <c r="E201">
        <v>29.82</v>
      </c>
      <c r="F201">
        <v>31.14</v>
      </c>
      <c r="G201">
        <v>1218.0999999999999</v>
      </c>
      <c r="H201">
        <v>1370.4</v>
      </c>
      <c r="I201">
        <v>2588.6</v>
      </c>
      <c r="J201">
        <v>1226.4000000000001</v>
      </c>
      <c r="K201">
        <v>1556.2</v>
      </c>
      <c r="L201">
        <v>2782.6</v>
      </c>
      <c r="M201">
        <v>3.0499000000000001</v>
      </c>
      <c r="N201">
        <v>2.8233000000000001</v>
      </c>
      <c r="O201">
        <v>5.8731</v>
      </c>
    </row>
    <row r="202" spans="1:15" x14ac:dyDescent="0.3">
      <c r="A202">
        <v>280</v>
      </c>
      <c r="B202">
        <v>553.15</v>
      </c>
      <c r="C202">
        <v>6420.2</v>
      </c>
      <c r="D202">
        <v>1.3320000000000001</v>
      </c>
      <c r="E202">
        <v>28.79</v>
      </c>
      <c r="F202">
        <v>30.13</v>
      </c>
      <c r="G202">
        <v>1228.3</v>
      </c>
      <c r="H202">
        <v>1358.7</v>
      </c>
      <c r="I202">
        <v>2587</v>
      </c>
      <c r="J202">
        <v>1236.8</v>
      </c>
      <c r="K202">
        <v>1543.6</v>
      </c>
      <c r="L202">
        <v>2780.4</v>
      </c>
      <c r="M202">
        <v>3.0682999999999998</v>
      </c>
      <c r="N202">
        <v>2.7902999999999998</v>
      </c>
      <c r="O202">
        <v>5.8586</v>
      </c>
    </row>
    <row r="203" spans="1:15" x14ac:dyDescent="0.3">
      <c r="A203">
        <v>282</v>
      </c>
      <c r="B203">
        <v>555.15</v>
      </c>
      <c r="C203">
        <v>6616.1</v>
      </c>
      <c r="D203">
        <v>1.339</v>
      </c>
      <c r="E203">
        <v>27.81</v>
      </c>
      <c r="F203">
        <v>29.14</v>
      </c>
      <c r="G203">
        <v>1238.5</v>
      </c>
      <c r="H203">
        <v>1346.8</v>
      </c>
      <c r="I203">
        <v>2585.3000000000002</v>
      </c>
      <c r="J203">
        <v>1247.3</v>
      </c>
      <c r="K203">
        <v>1530.8</v>
      </c>
      <c r="L203">
        <v>2778.1</v>
      </c>
      <c r="M203">
        <v>3.0868000000000002</v>
      </c>
      <c r="N203">
        <v>2.7572999999999999</v>
      </c>
      <c r="O203">
        <v>5.8440000000000003</v>
      </c>
    </row>
    <row r="204" spans="1:15" x14ac:dyDescent="0.3">
      <c r="A204">
        <v>284</v>
      </c>
      <c r="B204">
        <v>557.15</v>
      </c>
      <c r="C204">
        <v>6816.6</v>
      </c>
      <c r="D204">
        <v>1.345</v>
      </c>
      <c r="E204">
        <v>26.85</v>
      </c>
      <c r="F204">
        <v>28.2</v>
      </c>
      <c r="G204">
        <v>1248.7</v>
      </c>
      <c r="H204">
        <v>1334.8</v>
      </c>
      <c r="I204">
        <v>2583.5</v>
      </c>
      <c r="J204">
        <v>1257.9000000000001</v>
      </c>
      <c r="K204">
        <v>1517.8</v>
      </c>
      <c r="L204">
        <v>2775.7</v>
      </c>
      <c r="M204">
        <v>3.1053000000000002</v>
      </c>
      <c r="N204">
        <v>2.7241</v>
      </c>
      <c r="O204">
        <v>5.8293999999999997</v>
      </c>
    </row>
    <row r="205" spans="1:15" x14ac:dyDescent="0.3">
      <c r="A205">
        <v>286</v>
      </c>
      <c r="B205">
        <v>559.15</v>
      </c>
      <c r="C205">
        <v>7021.8</v>
      </c>
      <c r="D205">
        <v>1.3520000000000001</v>
      </c>
      <c r="E205">
        <v>25.93</v>
      </c>
      <c r="F205">
        <v>27.28</v>
      </c>
      <c r="G205">
        <v>1259</v>
      </c>
      <c r="H205">
        <v>1322.6</v>
      </c>
      <c r="I205">
        <v>2581.6</v>
      </c>
      <c r="J205">
        <v>1268.5</v>
      </c>
      <c r="K205">
        <v>1504.6</v>
      </c>
      <c r="L205">
        <v>2773.2</v>
      </c>
      <c r="M205">
        <v>3.1238000000000001</v>
      </c>
      <c r="N205">
        <v>2.6907999999999999</v>
      </c>
      <c r="O205">
        <v>5.8146000000000004</v>
      </c>
    </row>
    <row r="206" spans="1:15" x14ac:dyDescent="0.3">
      <c r="A206">
        <v>288</v>
      </c>
      <c r="B206">
        <v>561.15</v>
      </c>
      <c r="C206">
        <v>7231.5</v>
      </c>
      <c r="D206">
        <v>1.359</v>
      </c>
      <c r="E206">
        <v>25.03</v>
      </c>
      <c r="F206">
        <v>26.39</v>
      </c>
      <c r="G206">
        <v>1269.4000000000001</v>
      </c>
      <c r="H206">
        <v>1310.2</v>
      </c>
      <c r="I206">
        <v>2579.6</v>
      </c>
      <c r="J206">
        <v>1279.2</v>
      </c>
      <c r="K206">
        <v>1491.2</v>
      </c>
      <c r="L206">
        <v>2770.5</v>
      </c>
      <c r="M206">
        <v>3.1423999999999999</v>
      </c>
      <c r="N206">
        <v>2.6573000000000002</v>
      </c>
      <c r="O206">
        <v>5.7996999999999996</v>
      </c>
    </row>
    <row r="207" spans="1:15" x14ac:dyDescent="0.3">
      <c r="A207">
        <v>290</v>
      </c>
      <c r="B207">
        <v>563.15</v>
      </c>
      <c r="C207">
        <v>7446.1</v>
      </c>
      <c r="D207">
        <v>1.3660000000000001</v>
      </c>
      <c r="E207">
        <v>24.17</v>
      </c>
      <c r="F207">
        <v>25.54</v>
      </c>
      <c r="G207">
        <v>1279.8</v>
      </c>
      <c r="H207">
        <v>1297.7</v>
      </c>
      <c r="I207">
        <v>2577.5</v>
      </c>
      <c r="J207">
        <v>1290</v>
      </c>
      <c r="K207">
        <v>1477.6</v>
      </c>
      <c r="L207">
        <v>2767.6</v>
      </c>
      <c r="M207">
        <v>3.1610999999999998</v>
      </c>
      <c r="N207">
        <v>2.6236999999999999</v>
      </c>
      <c r="O207">
        <v>5.7847999999999997</v>
      </c>
    </row>
    <row r="208" spans="1:15" x14ac:dyDescent="0.3">
      <c r="A208">
        <v>292</v>
      </c>
      <c r="B208">
        <v>565.15</v>
      </c>
      <c r="C208">
        <v>7665.4</v>
      </c>
      <c r="D208">
        <v>1.373</v>
      </c>
      <c r="E208">
        <v>23.33</v>
      </c>
      <c r="F208">
        <v>24.71</v>
      </c>
      <c r="G208">
        <v>1290.3</v>
      </c>
      <c r="H208">
        <v>1284.9000000000001</v>
      </c>
      <c r="I208">
        <v>2575.3000000000002</v>
      </c>
      <c r="J208">
        <v>1300.9000000000001</v>
      </c>
      <c r="K208">
        <v>1463.8</v>
      </c>
      <c r="L208">
        <v>2764.6</v>
      </c>
      <c r="M208">
        <v>3.1798000000000002</v>
      </c>
      <c r="N208">
        <v>2.5899000000000001</v>
      </c>
      <c r="O208">
        <v>5.7697000000000003</v>
      </c>
    </row>
    <row r="209" spans="1:15" x14ac:dyDescent="0.3">
      <c r="A209">
        <v>294</v>
      </c>
      <c r="B209">
        <v>567.15</v>
      </c>
      <c r="C209">
        <v>7889.7</v>
      </c>
      <c r="D209">
        <v>1.381</v>
      </c>
      <c r="E209">
        <v>22.52</v>
      </c>
      <c r="F209">
        <v>23.9</v>
      </c>
      <c r="G209">
        <v>1300.9000000000001</v>
      </c>
      <c r="H209">
        <v>1272</v>
      </c>
      <c r="I209">
        <v>2572.9</v>
      </c>
      <c r="J209">
        <v>1311.8</v>
      </c>
      <c r="K209">
        <v>1449.7</v>
      </c>
      <c r="L209">
        <v>2761.5</v>
      </c>
      <c r="M209">
        <v>3.1985000000000001</v>
      </c>
      <c r="N209">
        <v>2.556</v>
      </c>
      <c r="O209">
        <v>5.7545000000000002</v>
      </c>
    </row>
    <row r="210" spans="1:15" x14ac:dyDescent="0.3">
      <c r="A210">
        <v>296</v>
      </c>
      <c r="B210">
        <v>569.15</v>
      </c>
      <c r="C210">
        <v>8118.9</v>
      </c>
      <c r="D210">
        <v>1.3879999999999999</v>
      </c>
      <c r="E210">
        <v>21.74</v>
      </c>
      <c r="F210">
        <v>23.13</v>
      </c>
      <c r="G210">
        <v>1311.5</v>
      </c>
      <c r="H210">
        <v>1258.9000000000001</v>
      </c>
      <c r="I210">
        <v>2570.4</v>
      </c>
      <c r="J210">
        <v>1322.8</v>
      </c>
      <c r="K210">
        <v>1435.4</v>
      </c>
      <c r="L210">
        <v>2758.2</v>
      </c>
      <c r="M210">
        <v>3.2172999999999998</v>
      </c>
      <c r="N210">
        <v>2.5217999999999998</v>
      </c>
      <c r="O210">
        <v>5.7392000000000003</v>
      </c>
    </row>
    <row r="211" spans="1:15" x14ac:dyDescent="0.3">
      <c r="A211">
        <v>298</v>
      </c>
      <c r="B211">
        <v>571.15</v>
      </c>
      <c r="C211">
        <v>8353.2000000000007</v>
      </c>
      <c r="D211">
        <v>1.3959999999999999</v>
      </c>
      <c r="E211">
        <v>20.98</v>
      </c>
      <c r="F211">
        <v>22.38</v>
      </c>
      <c r="G211">
        <v>1322.2</v>
      </c>
      <c r="H211">
        <v>1245.5999999999999</v>
      </c>
      <c r="I211">
        <v>2567.8000000000002</v>
      </c>
      <c r="J211">
        <v>1333.9</v>
      </c>
      <c r="K211">
        <v>1420.8</v>
      </c>
      <c r="L211">
        <v>2754.7</v>
      </c>
      <c r="M211">
        <v>3.2362000000000002</v>
      </c>
      <c r="N211">
        <v>2.4874999999999998</v>
      </c>
      <c r="O211">
        <v>5.7237</v>
      </c>
    </row>
    <row r="212" spans="1:15" x14ac:dyDescent="0.3">
      <c r="A212">
        <v>300</v>
      </c>
      <c r="B212">
        <v>573.15</v>
      </c>
      <c r="C212">
        <v>8592.7000000000007</v>
      </c>
      <c r="D212">
        <v>1.4039999999999999</v>
      </c>
      <c r="E212">
        <v>20.239999999999998</v>
      </c>
      <c r="F212">
        <v>21.65</v>
      </c>
      <c r="G212">
        <v>1333</v>
      </c>
      <c r="H212">
        <v>1232</v>
      </c>
      <c r="I212">
        <v>2565</v>
      </c>
      <c r="J212">
        <v>1345.1</v>
      </c>
      <c r="K212">
        <v>1406</v>
      </c>
      <c r="L212">
        <v>2751</v>
      </c>
      <c r="M212">
        <v>3.2551999999999999</v>
      </c>
      <c r="N212">
        <v>2.4529000000000001</v>
      </c>
      <c r="O212">
        <v>5.7081</v>
      </c>
    </row>
    <row r="213" spans="1:15" x14ac:dyDescent="0.3">
      <c r="A213">
        <v>302</v>
      </c>
      <c r="B213">
        <v>575.15</v>
      </c>
      <c r="C213">
        <v>8837.4</v>
      </c>
      <c r="D213">
        <v>1.4119999999999999</v>
      </c>
      <c r="E213">
        <v>19.53</v>
      </c>
      <c r="F213">
        <v>20.94</v>
      </c>
      <c r="G213">
        <v>1343.8</v>
      </c>
      <c r="H213">
        <v>1218.3</v>
      </c>
      <c r="I213">
        <v>2562.1</v>
      </c>
      <c r="J213">
        <v>1356.3</v>
      </c>
      <c r="K213">
        <v>1390.9</v>
      </c>
      <c r="L213">
        <v>2747.2</v>
      </c>
      <c r="M213">
        <v>3.2742</v>
      </c>
      <c r="N213">
        <v>2.4182000000000001</v>
      </c>
      <c r="O213">
        <v>5.6924000000000001</v>
      </c>
    </row>
    <row r="214" spans="1:15" x14ac:dyDescent="0.3">
      <c r="A214">
        <v>304</v>
      </c>
      <c r="B214">
        <v>577.15</v>
      </c>
      <c r="C214">
        <v>9087.2999999999993</v>
      </c>
      <c r="D214">
        <v>1.421</v>
      </c>
      <c r="E214">
        <v>18.84</v>
      </c>
      <c r="F214">
        <v>20.260000000000002</v>
      </c>
      <c r="G214">
        <v>1354.8</v>
      </c>
      <c r="H214">
        <v>1204.3</v>
      </c>
      <c r="I214">
        <v>2559.1</v>
      </c>
      <c r="J214">
        <v>1367.7</v>
      </c>
      <c r="K214">
        <v>1375.5</v>
      </c>
      <c r="L214">
        <v>2743.2</v>
      </c>
      <c r="M214">
        <v>3.2932999999999999</v>
      </c>
      <c r="N214">
        <v>2.3832</v>
      </c>
      <c r="O214">
        <v>5.6764999999999999</v>
      </c>
    </row>
    <row r="215" spans="1:15" x14ac:dyDescent="0.3">
      <c r="A215">
        <v>306</v>
      </c>
      <c r="B215">
        <v>579.15</v>
      </c>
      <c r="C215">
        <v>9342.7000000000007</v>
      </c>
      <c r="D215">
        <v>1.43</v>
      </c>
      <c r="E215">
        <v>18.170000000000002</v>
      </c>
      <c r="F215">
        <v>19.600000000000001</v>
      </c>
      <c r="G215">
        <v>1365.8</v>
      </c>
      <c r="H215">
        <v>1190.0999999999999</v>
      </c>
      <c r="I215">
        <v>2555.9</v>
      </c>
      <c r="J215">
        <v>1379.1</v>
      </c>
      <c r="K215">
        <v>1359.8</v>
      </c>
      <c r="L215">
        <v>2739</v>
      </c>
      <c r="M215">
        <v>3.3125</v>
      </c>
      <c r="N215">
        <v>2.3479000000000001</v>
      </c>
      <c r="O215">
        <v>5.6604000000000001</v>
      </c>
    </row>
    <row r="216" spans="1:15" x14ac:dyDescent="0.3">
      <c r="A216">
        <v>308</v>
      </c>
      <c r="B216">
        <v>581.15</v>
      </c>
      <c r="C216">
        <v>9603.6</v>
      </c>
      <c r="D216">
        <v>1.4390000000000001</v>
      </c>
      <c r="E216">
        <v>17.52</v>
      </c>
      <c r="F216">
        <v>18.96</v>
      </c>
      <c r="G216">
        <v>1376.9</v>
      </c>
      <c r="H216">
        <v>1175.5999999999999</v>
      </c>
      <c r="I216">
        <v>2552.5</v>
      </c>
      <c r="J216">
        <v>1390.7</v>
      </c>
      <c r="K216">
        <v>1343.9</v>
      </c>
      <c r="L216">
        <v>2734.6</v>
      </c>
      <c r="M216">
        <v>3.3317999999999999</v>
      </c>
      <c r="N216">
        <v>2.3123999999999998</v>
      </c>
      <c r="O216">
        <v>5.6441999999999997</v>
      </c>
    </row>
    <row r="217" spans="1:15" x14ac:dyDescent="0.3">
      <c r="A217">
        <v>310</v>
      </c>
      <c r="B217">
        <v>583.15</v>
      </c>
      <c r="C217">
        <v>9870</v>
      </c>
      <c r="D217">
        <v>1.448</v>
      </c>
      <c r="E217">
        <v>16.89</v>
      </c>
      <c r="F217">
        <v>18.329999999999998</v>
      </c>
      <c r="G217">
        <v>1388.1</v>
      </c>
      <c r="H217">
        <v>1161</v>
      </c>
      <c r="I217">
        <v>2549.1</v>
      </c>
      <c r="J217">
        <v>1402.4</v>
      </c>
      <c r="K217">
        <v>1327.6</v>
      </c>
      <c r="L217">
        <v>2730</v>
      </c>
      <c r="M217">
        <v>3.3512</v>
      </c>
      <c r="N217">
        <v>2.2766000000000002</v>
      </c>
      <c r="O217">
        <v>5.6277999999999997</v>
      </c>
    </row>
    <row r="218" spans="1:15" x14ac:dyDescent="0.3">
      <c r="A218">
        <v>312</v>
      </c>
      <c r="B218">
        <v>585.15</v>
      </c>
      <c r="C218">
        <v>10142.1</v>
      </c>
      <c r="D218">
        <v>1.458</v>
      </c>
      <c r="E218">
        <v>16.27</v>
      </c>
      <c r="F218">
        <v>17.73</v>
      </c>
      <c r="G218">
        <v>1399.4</v>
      </c>
      <c r="H218">
        <v>1146</v>
      </c>
      <c r="I218">
        <v>2545.4</v>
      </c>
      <c r="J218">
        <v>1414.2</v>
      </c>
      <c r="K218">
        <v>1311</v>
      </c>
      <c r="L218">
        <v>2725.2</v>
      </c>
      <c r="M218">
        <v>3.3706999999999998</v>
      </c>
      <c r="N218">
        <v>2.2404000000000002</v>
      </c>
      <c r="O218">
        <v>5.6111000000000004</v>
      </c>
    </row>
    <row r="219" spans="1:15" x14ac:dyDescent="0.3">
      <c r="A219">
        <v>314</v>
      </c>
      <c r="B219">
        <v>587.15</v>
      </c>
      <c r="C219">
        <v>10420</v>
      </c>
      <c r="D219">
        <v>1.468</v>
      </c>
      <c r="E219">
        <v>15.68</v>
      </c>
      <c r="F219">
        <v>17.14</v>
      </c>
      <c r="G219">
        <v>1410.8</v>
      </c>
      <c r="H219">
        <v>1130.8</v>
      </c>
      <c r="I219">
        <v>2541.6</v>
      </c>
      <c r="J219">
        <v>1426.1</v>
      </c>
      <c r="K219">
        <v>1294.0999999999999</v>
      </c>
      <c r="L219">
        <v>2720.2</v>
      </c>
      <c r="M219">
        <v>3.3902999999999999</v>
      </c>
      <c r="N219">
        <v>2.2040000000000002</v>
      </c>
      <c r="O219">
        <v>5.5942999999999996</v>
      </c>
    </row>
    <row r="220" spans="1:15" x14ac:dyDescent="0.3">
      <c r="A220">
        <v>316</v>
      </c>
      <c r="B220">
        <v>589.15</v>
      </c>
      <c r="C220">
        <v>10703</v>
      </c>
      <c r="D220">
        <v>1.478</v>
      </c>
      <c r="E220">
        <v>15.09</v>
      </c>
      <c r="F220">
        <v>16.57</v>
      </c>
      <c r="G220">
        <v>1422.3</v>
      </c>
      <c r="H220">
        <v>1115.2</v>
      </c>
      <c r="I220">
        <v>2537.5</v>
      </c>
      <c r="J220">
        <v>1438.1</v>
      </c>
      <c r="K220">
        <v>1276.8</v>
      </c>
      <c r="L220">
        <v>2714.9</v>
      </c>
      <c r="M220">
        <v>3.4100999999999999</v>
      </c>
      <c r="N220">
        <v>2.1671999999999998</v>
      </c>
      <c r="O220">
        <v>5.5772000000000004</v>
      </c>
    </row>
    <row r="221" spans="1:15" x14ac:dyDescent="0.3">
      <c r="A221">
        <v>318</v>
      </c>
      <c r="B221">
        <v>591.15</v>
      </c>
      <c r="C221">
        <v>10993.4</v>
      </c>
      <c r="D221">
        <v>1.488</v>
      </c>
      <c r="E221">
        <v>14.53</v>
      </c>
      <c r="F221">
        <v>16.02</v>
      </c>
      <c r="G221">
        <v>1433.9</v>
      </c>
      <c r="H221">
        <v>1099.4000000000001</v>
      </c>
      <c r="I221">
        <v>2533.3000000000002</v>
      </c>
      <c r="J221">
        <v>1450.3</v>
      </c>
      <c r="K221">
        <v>1259.0999999999999</v>
      </c>
      <c r="L221">
        <v>2709.4</v>
      </c>
      <c r="M221">
        <v>3.43</v>
      </c>
      <c r="N221">
        <v>2.13</v>
      </c>
      <c r="O221">
        <v>5.5598999999999998</v>
      </c>
    </row>
    <row r="222" spans="1:15" x14ac:dyDescent="0.3">
      <c r="A222">
        <v>320</v>
      </c>
      <c r="B222">
        <v>593.15</v>
      </c>
      <c r="C222">
        <v>11289.1</v>
      </c>
      <c r="D222">
        <v>1.5</v>
      </c>
      <c r="E222">
        <v>13.98</v>
      </c>
      <c r="F222">
        <v>15.48</v>
      </c>
      <c r="G222">
        <v>1445.7</v>
      </c>
      <c r="H222">
        <v>1083.2</v>
      </c>
      <c r="I222">
        <v>2528.9</v>
      </c>
      <c r="J222">
        <v>1462.6</v>
      </c>
      <c r="K222">
        <v>1241.0999999999999</v>
      </c>
      <c r="L222">
        <v>2703.7</v>
      </c>
      <c r="M222">
        <v>3.45</v>
      </c>
      <c r="N222">
        <v>2.0922999999999998</v>
      </c>
      <c r="O222">
        <v>5.5423</v>
      </c>
    </row>
    <row r="223" spans="1:15" x14ac:dyDescent="0.3">
      <c r="A223">
        <v>322</v>
      </c>
      <c r="B223">
        <v>595.15</v>
      </c>
      <c r="C223">
        <v>11591</v>
      </c>
      <c r="D223">
        <v>1.5109999999999999</v>
      </c>
      <c r="E223">
        <v>13.44</v>
      </c>
      <c r="F223">
        <v>14.96</v>
      </c>
      <c r="G223">
        <v>1457.5</v>
      </c>
      <c r="H223">
        <v>1066.7</v>
      </c>
      <c r="I223">
        <v>2524.3000000000002</v>
      </c>
      <c r="J223">
        <v>1475.1</v>
      </c>
      <c r="K223">
        <v>1222.5999999999999</v>
      </c>
      <c r="L223">
        <v>2697.6</v>
      </c>
      <c r="M223">
        <v>3.4702000000000002</v>
      </c>
      <c r="N223">
        <v>2.0541999999999998</v>
      </c>
      <c r="O223">
        <v>5.5244</v>
      </c>
    </row>
    <row r="224" spans="1:15" x14ac:dyDescent="0.3">
      <c r="A224">
        <v>324</v>
      </c>
      <c r="B224">
        <v>597.15</v>
      </c>
      <c r="C224">
        <v>11899.2</v>
      </c>
      <c r="D224">
        <v>1.5229999999999999</v>
      </c>
      <c r="E224">
        <v>12.92</v>
      </c>
      <c r="F224">
        <v>14.45</v>
      </c>
      <c r="G224">
        <v>1469.5</v>
      </c>
      <c r="H224">
        <v>1049.9000000000001</v>
      </c>
      <c r="I224">
        <v>2519.4</v>
      </c>
      <c r="J224">
        <v>1487.7</v>
      </c>
      <c r="K224">
        <v>1203.5999999999999</v>
      </c>
      <c r="L224">
        <v>2691.3</v>
      </c>
      <c r="M224">
        <v>3.4906000000000001</v>
      </c>
      <c r="N224">
        <v>2.0156000000000001</v>
      </c>
      <c r="O224">
        <v>5.5061999999999998</v>
      </c>
    </row>
    <row r="225" spans="1:15" x14ac:dyDescent="0.3">
      <c r="A225">
        <v>326</v>
      </c>
      <c r="B225">
        <v>599.15</v>
      </c>
      <c r="C225">
        <v>12213.7</v>
      </c>
      <c r="D225">
        <v>1.5349999999999999</v>
      </c>
      <c r="E225">
        <v>12.41</v>
      </c>
      <c r="F225">
        <v>13.95</v>
      </c>
      <c r="G225">
        <v>1481.7</v>
      </c>
      <c r="H225">
        <v>1032.5999999999999</v>
      </c>
      <c r="I225">
        <v>2514.3000000000002</v>
      </c>
      <c r="J225">
        <v>1500.4</v>
      </c>
      <c r="K225">
        <v>1184.2</v>
      </c>
      <c r="L225">
        <v>2684.6</v>
      </c>
      <c r="M225">
        <v>3.5110999999999999</v>
      </c>
      <c r="N225">
        <v>1.9763999999999999</v>
      </c>
      <c r="O225">
        <v>5.4875999999999996</v>
      </c>
    </row>
    <row r="226" spans="1:15" x14ac:dyDescent="0.3">
      <c r="A226">
        <v>328</v>
      </c>
      <c r="B226">
        <v>601.15</v>
      </c>
      <c r="C226">
        <v>12534.8</v>
      </c>
      <c r="D226">
        <v>1.548</v>
      </c>
      <c r="E226">
        <v>11.91</v>
      </c>
      <c r="F226">
        <v>13.46</v>
      </c>
      <c r="G226">
        <v>1494</v>
      </c>
      <c r="H226">
        <v>1014.8</v>
      </c>
      <c r="I226">
        <v>2508.8000000000002</v>
      </c>
      <c r="J226">
        <v>1513.4</v>
      </c>
      <c r="K226">
        <v>1164.2</v>
      </c>
      <c r="L226">
        <v>2677.6</v>
      </c>
      <c r="M226">
        <v>3.5318999999999998</v>
      </c>
      <c r="N226">
        <v>1.9367000000000001</v>
      </c>
      <c r="O226">
        <v>5.4684999999999997</v>
      </c>
    </row>
    <row r="227" spans="1:15" x14ac:dyDescent="0.3">
      <c r="A227">
        <v>330</v>
      </c>
      <c r="B227">
        <v>603.15</v>
      </c>
      <c r="C227">
        <v>12862.5</v>
      </c>
      <c r="D227">
        <v>1.5609999999999999</v>
      </c>
      <c r="E227">
        <v>11.43</v>
      </c>
      <c r="F227">
        <v>12.99</v>
      </c>
      <c r="G227">
        <v>1506.4</v>
      </c>
      <c r="H227">
        <v>996.7</v>
      </c>
      <c r="I227">
        <v>2503.1</v>
      </c>
      <c r="J227">
        <v>1526.5</v>
      </c>
      <c r="K227">
        <v>1143.5999999999999</v>
      </c>
      <c r="L227">
        <v>2670.2</v>
      </c>
      <c r="M227">
        <v>3.5528</v>
      </c>
      <c r="N227">
        <v>1.8962000000000001</v>
      </c>
      <c r="O227">
        <v>5.4489999999999998</v>
      </c>
    </row>
    <row r="228" spans="1:15" x14ac:dyDescent="0.3">
      <c r="A228">
        <v>332</v>
      </c>
      <c r="B228">
        <v>605.15</v>
      </c>
      <c r="C228">
        <v>13197</v>
      </c>
      <c r="D228">
        <v>1.575</v>
      </c>
      <c r="E228">
        <v>10.95</v>
      </c>
      <c r="F228">
        <v>12.53</v>
      </c>
      <c r="G228">
        <v>1519.1</v>
      </c>
      <c r="H228">
        <v>978</v>
      </c>
      <c r="I228">
        <v>2497</v>
      </c>
      <c r="J228">
        <v>1539.9</v>
      </c>
      <c r="K228">
        <v>1122.5</v>
      </c>
      <c r="L228">
        <v>2662.3</v>
      </c>
      <c r="M228">
        <v>3.5739999999999998</v>
      </c>
      <c r="N228">
        <v>1.855</v>
      </c>
      <c r="O228">
        <v>5.4290000000000003</v>
      </c>
    </row>
    <row r="229" spans="1:15" x14ac:dyDescent="0.3">
      <c r="A229">
        <v>334</v>
      </c>
      <c r="B229">
        <v>607.15</v>
      </c>
      <c r="C229">
        <v>13538.3</v>
      </c>
      <c r="D229">
        <v>1.59</v>
      </c>
      <c r="E229">
        <v>10.49</v>
      </c>
      <c r="F229">
        <v>12.08</v>
      </c>
      <c r="G229">
        <v>1531.9</v>
      </c>
      <c r="H229">
        <v>958.7</v>
      </c>
      <c r="I229">
        <v>2490.6</v>
      </c>
      <c r="J229">
        <v>1553.4</v>
      </c>
      <c r="K229">
        <v>1100.7</v>
      </c>
      <c r="L229">
        <v>2654.1</v>
      </c>
      <c r="M229">
        <v>3.5954999999999999</v>
      </c>
      <c r="N229">
        <v>1.8129</v>
      </c>
      <c r="O229">
        <v>5.4084000000000003</v>
      </c>
    </row>
    <row r="230" spans="1:15" x14ac:dyDescent="0.3">
      <c r="A230">
        <v>336</v>
      </c>
      <c r="B230">
        <v>609.15</v>
      </c>
      <c r="C230">
        <v>13886.7</v>
      </c>
      <c r="D230">
        <v>1.6060000000000001</v>
      </c>
      <c r="E230">
        <v>10.029999999999999</v>
      </c>
      <c r="F230">
        <v>11.63</v>
      </c>
      <c r="G230">
        <v>1544.9</v>
      </c>
      <c r="H230">
        <v>938.9</v>
      </c>
      <c r="I230">
        <v>2483.6999999999998</v>
      </c>
      <c r="J230">
        <v>1567.2</v>
      </c>
      <c r="K230">
        <v>1078.0999999999999</v>
      </c>
      <c r="L230">
        <v>2645.3</v>
      </c>
      <c r="M230">
        <v>3.6172</v>
      </c>
      <c r="N230">
        <v>1.77</v>
      </c>
      <c r="O230">
        <v>5.3872</v>
      </c>
    </row>
    <row r="231" spans="1:15" x14ac:dyDescent="0.3">
      <c r="A231">
        <v>338</v>
      </c>
      <c r="B231">
        <v>611.15</v>
      </c>
      <c r="C231">
        <v>14242.3</v>
      </c>
      <c r="D231">
        <v>1.6220000000000001</v>
      </c>
      <c r="E231">
        <v>9.58</v>
      </c>
      <c r="F231">
        <v>11.2</v>
      </c>
      <c r="G231">
        <v>1558.1</v>
      </c>
      <c r="H231">
        <v>918.4</v>
      </c>
      <c r="I231">
        <v>2476.4</v>
      </c>
      <c r="J231">
        <v>1581.2</v>
      </c>
      <c r="K231">
        <v>1054.8</v>
      </c>
      <c r="L231">
        <v>2636</v>
      </c>
      <c r="M231">
        <v>3.6392000000000002</v>
      </c>
      <c r="N231">
        <v>1.7261</v>
      </c>
      <c r="O231">
        <v>5.3653000000000004</v>
      </c>
    </row>
    <row r="232" spans="1:15" x14ac:dyDescent="0.3">
      <c r="A232">
        <v>340</v>
      </c>
      <c r="B232">
        <v>613.15</v>
      </c>
      <c r="C232">
        <v>14605.2</v>
      </c>
      <c r="D232">
        <v>1.639</v>
      </c>
      <c r="E232">
        <v>9.14</v>
      </c>
      <c r="F232">
        <v>10.78</v>
      </c>
      <c r="G232">
        <v>1571.5</v>
      </c>
      <c r="H232">
        <v>897.2</v>
      </c>
      <c r="I232">
        <v>2468.6999999999998</v>
      </c>
      <c r="J232">
        <v>1595.5</v>
      </c>
      <c r="K232">
        <v>1030.7</v>
      </c>
      <c r="L232">
        <v>2626.2</v>
      </c>
      <c r="M232">
        <v>3.6616</v>
      </c>
      <c r="N232">
        <v>1.6811</v>
      </c>
      <c r="O232">
        <v>5.3426999999999998</v>
      </c>
    </row>
    <row r="233" spans="1:15" x14ac:dyDescent="0.3">
      <c r="A233">
        <v>342</v>
      </c>
      <c r="B233">
        <v>615.15</v>
      </c>
      <c r="C233">
        <v>14975.5</v>
      </c>
      <c r="D233">
        <v>1.657</v>
      </c>
      <c r="E233">
        <v>8.7100000000000009</v>
      </c>
      <c r="F233">
        <v>10.37</v>
      </c>
      <c r="G233">
        <v>1585.2</v>
      </c>
      <c r="H233">
        <v>875.2</v>
      </c>
      <c r="I233">
        <v>2460.5</v>
      </c>
      <c r="J233">
        <v>1610</v>
      </c>
      <c r="K233">
        <v>1005.7</v>
      </c>
      <c r="L233">
        <v>2615.6999999999998</v>
      </c>
      <c r="M233">
        <v>3.6844000000000001</v>
      </c>
      <c r="N233">
        <v>1.635</v>
      </c>
      <c r="O233">
        <v>5.3193999999999999</v>
      </c>
    </row>
    <row r="234" spans="1:15" x14ac:dyDescent="0.3">
      <c r="A234">
        <v>344</v>
      </c>
      <c r="B234">
        <v>617.15</v>
      </c>
      <c r="C234">
        <v>15353.5</v>
      </c>
      <c r="D234">
        <v>1.6759999999999999</v>
      </c>
      <c r="E234">
        <v>8.2859999999999996</v>
      </c>
      <c r="F234">
        <v>9.9619999999999997</v>
      </c>
      <c r="G234">
        <v>1599.2</v>
      </c>
      <c r="H234">
        <v>852.5</v>
      </c>
      <c r="I234">
        <v>2451.6999999999998</v>
      </c>
      <c r="J234">
        <v>1624.9</v>
      </c>
      <c r="K234">
        <v>979.7</v>
      </c>
      <c r="L234">
        <v>2604.6999999999998</v>
      </c>
      <c r="M234">
        <v>3.7075</v>
      </c>
      <c r="N234">
        <v>1.5876999999999999</v>
      </c>
      <c r="O234">
        <v>5.2952000000000004</v>
      </c>
    </row>
    <row r="235" spans="1:15" x14ac:dyDescent="0.3">
      <c r="A235">
        <v>346</v>
      </c>
      <c r="B235">
        <v>619.15</v>
      </c>
      <c r="C235">
        <v>15739.3</v>
      </c>
      <c r="D235">
        <v>1.696</v>
      </c>
      <c r="E235">
        <v>7.87</v>
      </c>
      <c r="F235">
        <v>9.5660000000000007</v>
      </c>
      <c r="G235">
        <v>1613.5</v>
      </c>
      <c r="H235">
        <v>828.9</v>
      </c>
      <c r="I235">
        <v>2442.4</v>
      </c>
      <c r="J235">
        <v>1640.2</v>
      </c>
      <c r="K235">
        <v>952.8</v>
      </c>
      <c r="L235">
        <v>2593</v>
      </c>
      <c r="M235">
        <v>3.7311000000000001</v>
      </c>
      <c r="N235">
        <v>1.5390999999999999</v>
      </c>
      <c r="O235">
        <v>5.2702</v>
      </c>
    </row>
    <row r="236" spans="1:15" x14ac:dyDescent="0.3">
      <c r="A236">
        <v>348</v>
      </c>
      <c r="B236">
        <v>621.15</v>
      </c>
      <c r="C236">
        <v>16133.1</v>
      </c>
      <c r="D236">
        <v>1.718</v>
      </c>
      <c r="E236">
        <v>7.4610000000000003</v>
      </c>
      <c r="F236">
        <v>9.1780000000000008</v>
      </c>
      <c r="G236">
        <v>1628.1</v>
      </c>
      <c r="H236">
        <v>804.5</v>
      </c>
      <c r="I236">
        <v>2432.6</v>
      </c>
      <c r="J236">
        <v>1655.8</v>
      </c>
      <c r="K236">
        <v>924.8</v>
      </c>
      <c r="L236">
        <v>2580.6999999999998</v>
      </c>
      <c r="M236">
        <v>3.7553000000000001</v>
      </c>
      <c r="N236">
        <v>1.4891000000000001</v>
      </c>
      <c r="O236">
        <v>5.2443999999999997</v>
      </c>
    </row>
    <row r="237" spans="1:15" x14ac:dyDescent="0.3">
      <c r="A237">
        <v>350</v>
      </c>
      <c r="B237">
        <v>623.15</v>
      </c>
      <c r="C237">
        <v>16535.099999999999</v>
      </c>
      <c r="D237">
        <v>1.7410000000000001</v>
      </c>
      <c r="E237">
        <v>7.0579999999999998</v>
      </c>
      <c r="F237">
        <v>8.7989999999999995</v>
      </c>
      <c r="G237">
        <v>1643</v>
      </c>
      <c r="H237">
        <v>779.2</v>
      </c>
      <c r="I237">
        <v>2422.1999999999998</v>
      </c>
      <c r="J237">
        <v>1671.8</v>
      </c>
      <c r="K237">
        <v>895.9</v>
      </c>
      <c r="L237">
        <v>2567.6999999999998</v>
      </c>
      <c r="M237">
        <v>3.7801</v>
      </c>
      <c r="N237">
        <v>1.4375</v>
      </c>
      <c r="O237">
        <v>5.2176999999999998</v>
      </c>
    </row>
    <row r="238" spans="1:15" x14ac:dyDescent="0.3">
      <c r="A238">
        <v>352</v>
      </c>
      <c r="B238">
        <v>625.15</v>
      </c>
      <c r="C238">
        <v>16945.5</v>
      </c>
      <c r="D238">
        <v>1.766</v>
      </c>
      <c r="E238">
        <v>6.6539999999999999</v>
      </c>
      <c r="F238">
        <v>8.42</v>
      </c>
      <c r="G238">
        <v>1659.4</v>
      </c>
      <c r="H238">
        <v>751.5</v>
      </c>
      <c r="I238">
        <v>2410.8000000000002</v>
      </c>
      <c r="J238">
        <v>1689.3</v>
      </c>
      <c r="K238">
        <v>864.2</v>
      </c>
      <c r="L238">
        <v>2553.5</v>
      </c>
      <c r="M238">
        <v>3.8071000000000002</v>
      </c>
      <c r="N238">
        <v>1.3822000000000001</v>
      </c>
      <c r="O238">
        <v>5.1893000000000002</v>
      </c>
    </row>
    <row r="239" spans="1:15" x14ac:dyDescent="0.3">
      <c r="A239">
        <v>354</v>
      </c>
      <c r="B239">
        <v>627.15</v>
      </c>
      <c r="C239">
        <v>17364.400000000001</v>
      </c>
      <c r="D239">
        <v>1.794</v>
      </c>
      <c r="E239">
        <v>6.2519999999999998</v>
      </c>
      <c r="F239">
        <v>8.0449999999999999</v>
      </c>
      <c r="G239">
        <v>1676.3</v>
      </c>
      <c r="H239">
        <v>722.4</v>
      </c>
      <c r="I239">
        <v>2398.6999999999998</v>
      </c>
      <c r="J239">
        <v>1707.5</v>
      </c>
      <c r="K239">
        <v>830.9</v>
      </c>
      <c r="L239">
        <v>2538.4</v>
      </c>
      <c r="M239">
        <v>3.8349000000000002</v>
      </c>
      <c r="N239">
        <v>1.3247</v>
      </c>
      <c r="O239">
        <v>5.1596000000000002</v>
      </c>
    </row>
    <row r="240" spans="1:15" x14ac:dyDescent="0.3">
      <c r="A240">
        <v>356</v>
      </c>
      <c r="B240">
        <v>629.15</v>
      </c>
      <c r="C240">
        <v>17792.2</v>
      </c>
      <c r="D240">
        <v>1.8240000000000001</v>
      </c>
      <c r="E240">
        <v>5.85</v>
      </c>
      <c r="F240">
        <v>7.6740000000000004</v>
      </c>
      <c r="G240">
        <v>1693.4</v>
      </c>
      <c r="H240">
        <v>692.2</v>
      </c>
      <c r="I240">
        <v>2385.6</v>
      </c>
      <c r="J240">
        <v>1725.9</v>
      </c>
      <c r="K240">
        <v>796.2</v>
      </c>
      <c r="L240">
        <v>2522.1</v>
      </c>
      <c r="M240">
        <v>3.8628999999999998</v>
      </c>
      <c r="N240">
        <v>1.2654000000000001</v>
      </c>
      <c r="O240">
        <v>5.1283000000000003</v>
      </c>
    </row>
    <row r="241" spans="1:15" x14ac:dyDescent="0.3">
      <c r="A241">
        <v>358</v>
      </c>
      <c r="B241">
        <v>631.15</v>
      </c>
      <c r="C241">
        <v>18229</v>
      </c>
      <c r="D241">
        <v>1.8580000000000001</v>
      </c>
      <c r="E241">
        <v>5.4480000000000004</v>
      </c>
      <c r="F241">
        <v>7.306</v>
      </c>
      <c r="G241">
        <v>1710.8</v>
      </c>
      <c r="H241">
        <v>660.5</v>
      </c>
      <c r="I241">
        <v>2371.4</v>
      </c>
      <c r="J241">
        <v>1744.7</v>
      </c>
      <c r="K241">
        <v>759.9</v>
      </c>
      <c r="L241">
        <v>2504.6</v>
      </c>
      <c r="M241">
        <v>3.8915000000000002</v>
      </c>
      <c r="N241">
        <v>1.2037</v>
      </c>
      <c r="O241">
        <v>5.0952999999999999</v>
      </c>
    </row>
    <row r="242" spans="1:15" x14ac:dyDescent="0.3">
      <c r="A242">
        <v>360</v>
      </c>
      <c r="B242">
        <v>633.15</v>
      </c>
      <c r="C242">
        <v>18675.099999999999</v>
      </c>
      <c r="D242">
        <v>1.8959999999999999</v>
      </c>
      <c r="E242">
        <v>5.0439999999999996</v>
      </c>
      <c r="F242">
        <v>6.94</v>
      </c>
      <c r="G242">
        <v>1728.8</v>
      </c>
      <c r="H242">
        <v>627.1</v>
      </c>
      <c r="I242">
        <v>2355.8000000000002</v>
      </c>
      <c r="J242">
        <v>1764.2</v>
      </c>
      <c r="K242">
        <v>721.3</v>
      </c>
      <c r="L242">
        <v>2485.4</v>
      </c>
      <c r="M242">
        <v>3.9209999999999998</v>
      </c>
      <c r="N242">
        <v>1.139</v>
      </c>
      <c r="O242">
        <v>5.0599999999999996</v>
      </c>
    </row>
    <row r="243" spans="1:15" x14ac:dyDescent="0.3">
      <c r="A243">
        <v>361</v>
      </c>
      <c r="B243">
        <v>634.15</v>
      </c>
      <c r="C243">
        <v>18901.7</v>
      </c>
      <c r="D243">
        <v>1.917</v>
      </c>
      <c r="E243">
        <v>4.84</v>
      </c>
      <c r="F243">
        <v>6.7569999999999997</v>
      </c>
      <c r="G243">
        <v>1738</v>
      </c>
      <c r="H243">
        <v>609.5</v>
      </c>
      <c r="I243">
        <v>2347.5</v>
      </c>
      <c r="J243">
        <v>1774.2</v>
      </c>
      <c r="K243">
        <v>701</v>
      </c>
      <c r="L243">
        <v>2475.1999999999998</v>
      </c>
      <c r="M243">
        <v>3.9361999999999999</v>
      </c>
      <c r="N243">
        <v>1.1052</v>
      </c>
      <c r="O243">
        <v>5.0414000000000003</v>
      </c>
    </row>
    <row r="244" spans="1:15" x14ac:dyDescent="0.3">
      <c r="A244">
        <v>362</v>
      </c>
      <c r="B244">
        <v>635.15</v>
      </c>
      <c r="C244">
        <v>19130.7</v>
      </c>
      <c r="D244">
        <v>1.9390000000000001</v>
      </c>
      <c r="E244">
        <v>4.6340000000000003</v>
      </c>
      <c r="F244">
        <v>6.5730000000000004</v>
      </c>
      <c r="G244">
        <v>1747.5</v>
      </c>
      <c r="H244">
        <v>591.20000000000005</v>
      </c>
      <c r="I244">
        <v>2338.6999999999998</v>
      </c>
      <c r="J244">
        <v>1784.6</v>
      </c>
      <c r="K244">
        <v>679.8</v>
      </c>
      <c r="L244">
        <v>2464.4</v>
      </c>
      <c r="M244">
        <v>3.9518</v>
      </c>
      <c r="N244">
        <v>1.0702</v>
      </c>
      <c r="O244">
        <v>5.0220000000000002</v>
      </c>
    </row>
    <row r="245" spans="1:15" x14ac:dyDescent="0.3">
      <c r="A245">
        <v>363</v>
      </c>
      <c r="B245">
        <v>636.15</v>
      </c>
      <c r="C245">
        <v>19362.099999999999</v>
      </c>
      <c r="D245">
        <v>1.9630000000000001</v>
      </c>
      <c r="E245">
        <v>4.4249999999999998</v>
      </c>
      <c r="F245">
        <v>6.3879999999999999</v>
      </c>
      <c r="G245">
        <v>1757.3</v>
      </c>
      <c r="H245">
        <v>572.1</v>
      </c>
      <c r="I245">
        <v>2329.3000000000002</v>
      </c>
      <c r="J245">
        <v>1795.3</v>
      </c>
      <c r="K245">
        <v>657.8</v>
      </c>
      <c r="L245">
        <v>2453</v>
      </c>
      <c r="M245">
        <v>3.9679000000000002</v>
      </c>
      <c r="N245">
        <v>1.0338000000000001</v>
      </c>
      <c r="O245">
        <v>5.0016999999999996</v>
      </c>
    </row>
    <row r="246" spans="1:15" x14ac:dyDescent="0.3">
      <c r="A246">
        <v>364</v>
      </c>
      <c r="B246">
        <v>637.15</v>
      </c>
      <c r="C246">
        <v>19596.099999999999</v>
      </c>
      <c r="D246">
        <v>1.988</v>
      </c>
      <c r="E246">
        <v>4.2130000000000001</v>
      </c>
      <c r="F246">
        <v>6.2009999999999996</v>
      </c>
      <c r="G246">
        <v>1767.4</v>
      </c>
      <c r="H246">
        <v>552</v>
      </c>
      <c r="I246">
        <v>2319.4</v>
      </c>
      <c r="J246">
        <v>1806.4</v>
      </c>
      <c r="K246">
        <v>634.6</v>
      </c>
      <c r="L246">
        <v>2440.9</v>
      </c>
      <c r="M246">
        <v>3.9845999999999999</v>
      </c>
      <c r="N246">
        <v>0.99580000000000002</v>
      </c>
      <c r="O246">
        <v>4.9804000000000004</v>
      </c>
    </row>
    <row r="247" spans="1:15" x14ac:dyDescent="0.3">
      <c r="A247">
        <v>365</v>
      </c>
      <c r="B247">
        <v>638.15</v>
      </c>
      <c r="C247">
        <v>19832.599999999999</v>
      </c>
      <c r="D247">
        <v>2.016</v>
      </c>
      <c r="E247">
        <v>3.996</v>
      </c>
      <c r="F247">
        <v>6.0119999999999996</v>
      </c>
      <c r="G247">
        <v>1778</v>
      </c>
      <c r="H247">
        <v>530.79999999999995</v>
      </c>
      <c r="I247">
        <v>2308.8000000000002</v>
      </c>
      <c r="J247">
        <v>1818</v>
      </c>
      <c r="K247">
        <v>610</v>
      </c>
      <c r="L247">
        <v>2428</v>
      </c>
      <c r="M247">
        <v>4.0021000000000004</v>
      </c>
      <c r="N247">
        <v>0.95579999999999998</v>
      </c>
      <c r="O247">
        <v>4.9579000000000004</v>
      </c>
    </row>
    <row r="248" spans="1:15" x14ac:dyDescent="0.3">
      <c r="A248">
        <v>366</v>
      </c>
      <c r="B248">
        <v>639.15</v>
      </c>
      <c r="C248">
        <v>20071.599999999999</v>
      </c>
      <c r="D248">
        <v>2.0459999999999998</v>
      </c>
      <c r="E248">
        <v>3.7719999999999998</v>
      </c>
      <c r="F248">
        <v>5.819</v>
      </c>
      <c r="G248">
        <v>1789.1</v>
      </c>
      <c r="H248">
        <v>508.2</v>
      </c>
      <c r="I248">
        <v>2297.3000000000002</v>
      </c>
      <c r="J248">
        <v>1830.2</v>
      </c>
      <c r="K248">
        <v>583.9</v>
      </c>
      <c r="L248">
        <v>2414.1</v>
      </c>
      <c r="M248">
        <v>4.0205000000000002</v>
      </c>
      <c r="N248">
        <v>0.91339999999999999</v>
      </c>
      <c r="O248">
        <v>4.9339000000000004</v>
      </c>
    </row>
    <row r="249" spans="1:15" x14ac:dyDescent="0.3">
      <c r="A249">
        <v>367</v>
      </c>
      <c r="B249">
        <v>640.15</v>
      </c>
      <c r="C249">
        <v>20313.2</v>
      </c>
      <c r="D249">
        <v>2.08</v>
      </c>
      <c r="E249">
        <v>3.54</v>
      </c>
      <c r="F249">
        <v>5.6210000000000004</v>
      </c>
      <c r="G249">
        <v>1801</v>
      </c>
      <c r="H249">
        <v>483.8</v>
      </c>
      <c r="I249">
        <v>2284.8000000000002</v>
      </c>
      <c r="J249">
        <v>1843.2</v>
      </c>
      <c r="K249">
        <v>555.70000000000005</v>
      </c>
      <c r="L249">
        <v>2399</v>
      </c>
      <c r="M249">
        <v>4.0400999999999998</v>
      </c>
      <c r="N249">
        <v>0.86799999999999999</v>
      </c>
      <c r="O249">
        <v>4.9081000000000001</v>
      </c>
    </row>
    <row r="250" spans="1:15" x14ac:dyDescent="0.3">
      <c r="A250">
        <v>368</v>
      </c>
      <c r="B250">
        <v>641.15</v>
      </c>
      <c r="C250">
        <v>20557.5</v>
      </c>
      <c r="D250">
        <v>2.1179999999999999</v>
      </c>
      <c r="E250">
        <v>3.298</v>
      </c>
      <c r="F250">
        <v>5.4160000000000004</v>
      </c>
      <c r="G250">
        <v>1813.8</v>
      </c>
      <c r="H250">
        <v>457.3</v>
      </c>
      <c r="I250">
        <v>2271.1</v>
      </c>
      <c r="J250">
        <v>1857.3</v>
      </c>
      <c r="K250">
        <v>525.1</v>
      </c>
      <c r="L250">
        <v>2382.4</v>
      </c>
      <c r="M250">
        <v>4.0613000000000001</v>
      </c>
      <c r="N250" t="s">
        <v>17</v>
      </c>
      <c r="O250">
        <v>4.8800999999999997</v>
      </c>
    </row>
    <row r="251" spans="1:15" x14ac:dyDescent="0.3">
      <c r="A251">
        <v>369</v>
      </c>
      <c r="B251">
        <v>642.15</v>
      </c>
      <c r="C251">
        <v>20804.400000000001</v>
      </c>
      <c r="D251">
        <v>2.1619999999999999</v>
      </c>
      <c r="E251">
        <v>3.0390000000000001</v>
      </c>
      <c r="F251">
        <v>5.2009999999999996</v>
      </c>
      <c r="G251">
        <v>1827.8</v>
      </c>
      <c r="H251">
        <v>427.9</v>
      </c>
      <c r="I251">
        <v>2255.6999999999998</v>
      </c>
      <c r="J251">
        <v>1872.8</v>
      </c>
      <c r="K251">
        <v>491.1</v>
      </c>
      <c r="L251">
        <v>2363.9</v>
      </c>
      <c r="M251">
        <v>4.0846</v>
      </c>
      <c r="N251">
        <v>0.76470000000000005</v>
      </c>
      <c r="O251">
        <v>4.8491999999999997</v>
      </c>
    </row>
    <row r="252" spans="1:15" x14ac:dyDescent="0.3">
      <c r="A252">
        <v>370</v>
      </c>
      <c r="B252">
        <v>643.15</v>
      </c>
      <c r="C252">
        <v>21054</v>
      </c>
      <c r="D252">
        <v>2.214</v>
      </c>
      <c r="E252">
        <v>2.7589999999999999</v>
      </c>
      <c r="F252">
        <v>4.9729999999999999</v>
      </c>
      <c r="G252">
        <v>1843.6</v>
      </c>
      <c r="H252">
        <v>394.5</v>
      </c>
      <c r="I252">
        <v>2238.1</v>
      </c>
      <c r="J252">
        <v>1890.2</v>
      </c>
      <c r="K252">
        <v>452.6</v>
      </c>
      <c r="L252">
        <v>2342.8000000000002</v>
      </c>
      <c r="M252">
        <v>4.1108000000000002</v>
      </c>
      <c r="N252">
        <v>0.7036</v>
      </c>
      <c r="O252">
        <v>4.8144</v>
      </c>
    </row>
    <row r="253" spans="1:15" x14ac:dyDescent="0.3">
      <c r="A253">
        <v>371</v>
      </c>
      <c r="B253">
        <v>644.15</v>
      </c>
      <c r="C253">
        <v>21306.400000000001</v>
      </c>
      <c r="D253">
        <v>2.278</v>
      </c>
      <c r="E253">
        <v>2.4460000000000002</v>
      </c>
      <c r="F253">
        <v>4.7229999999999999</v>
      </c>
      <c r="G253">
        <v>1862</v>
      </c>
      <c r="H253">
        <v>355.3</v>
      </c>
      <c r="I253">
        <v>2217.3000000000002</v>
      </c>
      <c r="J253">
        <v>1910.5</v>
      </c>
      <c r="K253">
        <v>407.4</v>
      </c>
      <c r="L253">
        <v>2317.9</v>
      </c>
      <c r="M253">
        <v>4.1414</v>
      </c>
      <c r="N253">
        <v>0.63239999999999996</v>
      </c>
      <c r="O253">
        <v>4.7737999999999996</v>
      </c>
    </row>
    <row r="254" spans="1:15" x14ac:dyDescent="0.3">
      <c r="A254">
        <v>372</v>
      </c>
      <c r="B254">
        <v>645.15</v>
      </c>
      <c r="C254">
        <v>21561.599999999999</v>
      </c>
      <c r="D254">
        <v>2.3639999999999999</v>
      </c>
      <c r="E254">
        <v>2.0750000000000002</v>
      </c>
      <c r="F254">
        <v>4.4390000000000001</v>
      </c>
      <c r="G254">
        <v>1884.6</v>
      </c>
      <c r="H254">
        <v>306.60000000000002</v>
      </c>
      <c r="I254">
        <v>2191.1999999999998</v>
      </c>
      <c r="J254">
        <v>1935.6</v>
      </c>
      <c r="K254">
        <v>351.4</v>
      </c>
      <c r="L254">
        <v>2287</v>
      </c>
      <c r="M254">
        <v>4.1794000000000002</v>
      </c>
      <c r="N254">
        <v>0.54459999999999997</v>
      </c>
      <c r="O254">
        <v>4.7240000000000002</v>
      </c>
    </row>
    <row r="255" spans="1:15" x14ac:dyDescent="0.3">
      <c r="A255">
        <v>373</v>
      </c>
      <c r="B255">
        <v>646.15</v>
      </c>
      <c r="C255">
        <v>21819.7</v>
      </c>
      <c r="D255">
        <v>2.496</v>
      </c>
      <c r="E255">
        <v>1.5880000000000001</v>
      </c>
      <c r="F255">
        <v>4.0839999999999996</v>
      </c>
      <c r="G255">
        <v>1916</v>
      </c>
      <c r="H255">
        <v>238.9</v>
      </c>
      <c r="I255">
        <v>2154.9</v>
      </c>
      <c r="J255">
        <v>1970.5</v>
      </c>
      <c r="K255">
        <v>273.5</v>
      </c>
      <c r="L255">
        <v>2244</v>
      </c>
      <c r="M255">
        <v>4.2324999999999999</v>
      </c>
      <c r="N255">
        <v>0.42330000000000001</v>
      </c>
      <c r="O255">
        <v>4.6558999999999999</v>
      </c>
    </row>
    <row r="256" spans="1:15" x14ac:dyDescent="0.3">
      <c r="A256">
        <v>374</v>
      </c>
      <c r="B256">
        <v>647.15</v>
      </c>
      <c r="C256">
        <v>22080.5</v>
      </c>
      <c r="D256">
        <v>2.843</v>
      </c>
      <c r="E256">
        <v>0.623</v>
      </c>
      <c r="F256">
        <v>3.4660000000000002</v>
      </c>
      <c r="G256">
        <v>1983.9</v>
      </c>
      <c r="H256">
        <v>95.7</v>
      </c>
      <c r="I256">
        <v>2079.6999999999998</v>
      </c>
      <c r="J256">
        <v>2046.7</v>
      </c>
      <c r="K256">
        <v>109.5</v>
      </c>
      <c r="L256">
        <v>2156.1999999999998</v>
      </c>
      <c r="M256">
        <v>4.3493000000000004</v>
      </c>
      <c r="N256">
        <v>0.16919999999999999</v>
      </c>
      <c r="O256">
        <v>4.5185000000000004</v>
      </c>
    </row>
    <row r="257" spans="1:45" x14ac:dyDescent="0.3">
      <c r="A257">
        <v>374.15</v>
      </c>
      <c r="B257">
        <v>647.29999999999995</v>
      </c>
      <c r="C257">
        <v>22120</v>
      </c>
      <c r="D257">
        <v>3.17</v>
      </c>
      <c r="E257">
        <v>0</v>
      </c>
      <c r="F257">
        <v>3.17</v>
      </c>
      <c r="G257">
        <v>2037.3</v>
      </c>
      <c r="H257">
        <v>0</v>
      </c>
      <c r="I257">
        <v>2037.3</v>
      </c>
      <c r="J257">
        <v>2107.4</v>
      </c>
      <c r="K257">
        <v>0</v>
      </c>
      <c r="L257">
        <v>2107.4</v>
      </c>
      <c r="M257">
        <v>4.4428999999999998</v>
      </c>
      <c r="N257">
        <v>0</v>
      </c>
      <c r="O257">
        <v>4.4428999999999998</v>
      </c>
    </row>
    <row r="258" spans="1:45" x14ac:dyDescent="0.3">
      <c r="C258">
        <f>+B1</f>
        <v>4500</v>
      </c>
    </row>
    <row r="259" spans="1:45" x14ac:dyDescent="0.3">
      <c r="A259">
        <f>+B4</f>
        <v>138.86199999999999</v>
      </c>
      <c r="D259">
        <f>+B4</f>
        <v>138.86199999999999</v>
      </c>
      <c r="G259">
        <f>+B4</f>
        <v>138.86199999999999</v>
      </c>
      <c r="J259">
        <f>+B4</f>
        <v>138.86199999999999</v>
      </c>
      <c r="M259">
        <f>+B4</f>
        <v>138.86199999999999</v>
      </c>
    </row>
    <row r="262" spans="1:45" x14ac:dyDescent="0.3">
      <c r="A262" t="s">
        <v>56</v>
      </c>
      <c r="B262" s="3">
        <f>+B1</f>
        <v>4500</v>
      </c>
      <c r="D262" s="2" t="s">
        <v>52</v>
      </c>
      <c r="E262" s="2" t="e">
        <f>+F284</f>
        <v>#N/A</v>
      </c>
      <c r="G262" t="s">
        <v>61</v>
      </c>
      <c r="H262" t="s">
        <v>59</v>
      </c>
      <c r="I262" t="s">
        <v>60</v>
      </c>
      <c r="AS262" t="s">
        <v>58</v>
      </c>
    </row>
    <row r="263" spans="1:45" x14ac:dyDescent="0.3">
      <c r="D263" s="2" t="s">
        <v>76</v>
      </c>
      <c r="E263" s="2" t="e">
        <f>+_xlfn.FORECAST.LINEAR($E$262,AM297:AN297,$AM$296:$AN$296)</f>
        <v>#N/A</v>
      </c>
      <c r="G263">
        <f>+_xlfn.RANK.EQ(B262,AS263:AS396,1)</f>
        <v>87</v>
      </c>
      <c r="H263">
        <f>+SMALL($AS$263:$AS$395,G263-1)</f>
        <v>4400</v>
      </c>
      <c r="I263">
        <f>+SMALL($AS$263:$AS$395,G263)</f>
        <v>4500</v>
      </c>
      <c r="AS263">
        <v>1</v>
      </c>
    </row>
    <row r="264" spans="1:45" x14ac:dyDescent="0.3">
      <c r="A264" t="s">
        <v>50</v>
      </c>
      <c r="B264" t="s">
        <v>57</v>
      </c>
      <c r="D264" s="2" t="s">
        <v>53</v>
      </c>
      <c r="E264" s="2" t="e">
        <f>+_xlfn.FORECAST.LINEAR($E$262,AM298:AN298,$AM$296:$AN$296)</f>
        <v>#N/A</v>
      </c>
      <c r="AS264">
        <v>10</v>
      </c>
    </row>
    <row r="265" spans="1:45" x14ac:dyDescent="0.3">
      <c r="A265" t="str">
        <f>+A4</f>
        <v>T(°C)</v>
      </c>
      <c r="B265">
        <f>+B4</f>
        <v>138.86199999999999</v>
      </c>
      <c r="D265" s="2" t="s">
        <v>54</v>
      </c>
      <c r="E265" s="2" t="e">
        <f>+_xlfn.FORECAST.LINEAR($E$262,AM299:AN299,$AM$296:$AN$296)</f>
        <v>#N/A</v>
      </c>
      <c r="AS265">
        <v>20</v>
      </c>
    </row>
    <row r="266" spans="1:45" x14ac:dyDescent="0.3">
      <c r="D266" s="2" t="s">
        <v>55</v>
      </c>
      <c r="E266" s="2" t="e">
        <f>+_xlfn.FORECAST.LINEAR($E$262,AM300:AN300,$AM$296:$AN$296)</f>
        <v>#N/A</v>
      </c>
      <c r="AS266">
        <v>30</v>
      </c>
    </row>
    <row r="267" spans="1:45" x14ac:dyDescent="0.3">
      <c r="AS267">
        <v>40</v>
      </c>
    </row>
    <row r="268" spans="1:45" x14ac:dyDescent="0.3">
      <c r="A268" t="s">
        <v>22</v>
      </c>
      <c r="B268" t="s">
        <v>23</v>
      </c>
      <c r="C268" t="s">
        <v>2</v>
      </c>
      <c r="D268" t="s">
        <v>49</v>
      </c>
      <c r="E268" t="s">
        <v>48</v>
      </c>
      <c r="F268">
        <v>75</v>
      </c>
      <c r="G268">
        <v>100</v>
      </c>
      <c r="H268">
        <v>125</v>
      </c>
      <c r="I268">
        <v>150</v>
      </c>
      <c r="J268">
        <v>175</v>
      </c>
      <c r="K268">
        <v>200</v>
      </c>
      <c r="L268">
        <v>220</v>
      </c>
      <c r="M268">
        <v>225</v>
      </c>
      <c r="N268">
        <v>240</v>
      </c>
      <c r="O268">
        <v>250</v>
      </c>
      <c r="P268">
        <v>260</v>
      </c>
      <c r="Q268">
        <v>275</v>
      </c>
      <c r="R268">
        <v>280</v>
      </c>
      <c r="S268">
        <v>290</v>
      </c>
      <c r="T268">
        <v>300</v>
      </c>
      <c r="U268">
        <v>320</v>
      </c>
      <c r="V268">
        <v>325</v>
      </c>
      <c r="W268">
        <v>340</v>
      </c>
      <c r="X268">
        <v>350</v>
      </c>
      <c r="Y268">
        <v>360</v>
      </c>
      <c r="Z268">
        <v>375</v>
      </c>
      <c r="AA268">
        <v>380</v>
      </c>
      <c r="AB268">
        <v>400</v>
      </c>
      <c r="AC268">
        <v>425</v>
      </c>
      <c r="AD268">
        <v>450</v>
      </c>
      <c r="AE268">
        <v>475</v>
      </c>
      <c r="AF268">
        <v>500</v>
      </c>
      <c r="AG268">
        <v>525</v>
      </c>
      <c r="AH268">
        <v>550</v>
      </c>
      <c r="AI268">
        <v>575</v>
      </c>
      <c r="AJ268">
        <v>600</v>
      </c>
      <c r="AK268">
        <v>625</v>
      </c>
      <c r="AL268">
        <v>650</v>
      </c>
      <c r="AS268">
        <v>50</v>
      </c>
    </row>
    <row r="269" spans="1:45" x14ac:dyDescent="0.3">
      <c r="A269">
        <f t="array" ref="A269:AL272">+_xlfn._xlws.FILTER(A304:AL847,A304:A847=H263)</f>
        <v>4400</v>
      </c>
      <c r="B269">
        <v>256.05</v>
      </c>
      <c r="C269" t="str">
        <v>V</v>
      </c>
      <c r="D269">
        <v>1.266</v>
      </c>
      <c r="E269">
        <v>45.079000000000001</v>
      </c>
      <c r="F269" t="str">
        <v>.......</v>
      </c>
      <c r="G269" t="str">
        <v>.......</v>
      </c>
      <c r="H269" t="str">
        <v>.......</v>
      </c>
      <c r="I269" t="str">
        <v>.......</v>
      </c>
      <c r="J269" t="str">
        <v>.......</v>
      </c>
      <c r="K269" t="str">
        <v>.......</v>
      </c>
      <c r="L269" t="str">
        <v>.......</v>
      </c>
      <c r="M269" t="str">
        <v>.......</v>
      </c>
      <c r="N269" t="str">
        <v>.......</v>
      </c>
      <c r="O269" t="str">
        <v>.......</v>
      </c>
      <c r="P269">
        <v>45.853000000000002</v>
      </c>
      <c r="Q269">
        <v>48.600999999999999</v>
      </c>
      <c r="R269">
        <v>49.421199999999999</v>
      </c>
      <c r="S269">
        <v>51.061599999999999</v>
      </c>
      <c r="T269">
        <v>52.701999999999998</v>
      </c>
      <c r="U269">
        <v>55.6676</v>
      </c>
      <c r="V269">
        <v>56.408999999999999</v>
      </c>
      <c r="W269">
        <v>58.480199999999996</v>
      </c>
      <c r="X269">
        <v>59.860999999999997</v>
      </c>
      <c r="Y269">
        <v>61.172199999999997</v>
      </c>
      <c r="Z269">
        <v>63.139000000000003</v>
      </c>
      <c r="AA269">
        <v>63.770200000000003</v>
      </c>
      <c r="AB269">
        <v>66.295000000000002</v>
      </c>
      <c r="AC269">
        <v>69.363</v>
      </c>
      <c r="AD269">
        <v>72.364999999999995</v>
      </c>
      <c r="AE269">
        <v>75.316999999999993</v>
      </c>
      <c r="AF269">
        <v>78.228999999999999</v>
      </c>
      <c r="AG269">
        <v>81.11</v>
      </c>
      <c r="AH269">
        <v>83.962999999999994</v>
      </c>
      <c r="AI269">
        <v>86.793999999999997</v>
      </c>
      <c r="AJ269">
        <v>89.605000000000004</v>
      </c>
      <c r="AK269">
        <v>92.391000000000005</v>
      </c>
      <c r="AL269">
        <v>95.177000000000007</v>
      </c>
      <c r="AS269">
        <v>75</v>
      </c>
    </row>
    <row r="270" spans="1:45" x14ac:dyDescent="0.3">
      <c r="A270">
        <v>4400</v>
      </c>
      <c r="B270">
        <v>256.05</v>
      </c>
      <c r="C270" t="str">
        <v>U</v>
      </c>
      <c r="D270">
        <v>1109.8</v>
      </c>
      <c r="E270">
        <v>2599.9</v>
      </c>
      <c r="F270" t="str">
        <v>.......</v>
      </c>
      <c r="G270" t="str">
        <v>.......</v>
      </c>
      <c r="H270" t="str">
        <v>.......</v>
      </c>
      <c r="I270" t="str">
        <v>.......</v>
      </c>
      <c r="J270" t="str">
        <v>.......</v>
      </c>
      <c r="K270" t="str">
        <v>.......</v>
      </c>
      <c r="L270" t="str">
        <v>.......</v>
      </c>
      <c r="M270" t="str">
        <v>.......</v>
      </c>
      <c r="N270" t="str">
        <v>.......</v>
      </c>
      <c r="O270" t="str">
        <v>.......</v>
      </c>
      <c r="P270">
        <v>2611.8000000000002</v>
      </c>
      <c r="Q270">
        <v>2653.9</v>
      </c>
      <c r="R270">
        <v>2666.32</v>
      </c>
      <c r="S270">
        <v>2691.16</v>
      </c>
      <c r="T270">
        <v>2716</v>
      </c>
      <c r="U270">
        <v>2760.2400000000002</v>
      </c>
      <c r="V270">
        <v>2771.3</v>
      </c>
      <c r="W270">
        <v>2801.9</v>
      </c>
      <c r="X270">
        <v>2822.3</v>
      </c>
      <c r="Y270">
        <v>2841.62</v>
      </c>
      <c r="Z270">
        <v>2870.6</v>
      </c>
      <c r="AA270">
        <v>2879.9</v>
      </c>
      <c r="AB270">
        <v>2917.1</v>
      </c>
      <c r="AC270">
        <v>2962.5</v>
      </c>
      <c r="AD270">
        <v>3007.4</v>
      </c>
      <c r="AE270">
        <v>3051.9</v>
      </c>
      <c r="AF270">
        <v>3096.3</v>
      </c>
      <c r="AG270">
        <v>3140.7</v>
      </c>
      <c r="AH270">
        <v>3185.3</v>
      </c>
      <c r="AI270">
        <v>3230.1</v>
      </c>
      <c r="AJ270">
        <v>3275.2</v>
      </c>
      <c r="AK270">
        <v>3320.7</v>
      </c>
      <c r="AL270">
        <v>3366.2</v>
      </c>
      <c r="AS270">
        <v>100</v>
      </c>
    </row>
    <row r="271" spans="1:45" x14ac:dyDescent="0.3">
      <c r="A271">
        <v>4400</v>
      </c>
      <c r="B271">
        <v>256.05</v>
      </c>
      <c r="C271" t="str">
        <v>H</v>
      </c>
      <c r="D271">
        <v>1115.4000000000001</v>
      </c>
      <c r="E271">
        <v>2798.3</v>
      </c>
      <c r="F271" t="str">
        <v>.......</v>
      </c>
      <c r="G271" t="str">
        <v>.......</v>
      </c>
      <c r="H271" t="str">
        <v>.......</v>
      </c>
      <c r="I271" t="str">
        <v>.......</v>
      </c>
      <c r="J271" t="str">
        <v>.......</v>
      </c>
      <c r="K271" t="str">
        <v>.......</v>
      </c>
      <c r="L271" t="str">
        <v>.......</v>
      </c>
      <c r="M271" t="str">
        <v>.......</v>
      </c>
      <c r="N271" t="str">
        <v>.......</v>
      </c>
      <c r="O271" t="str">
        <v>.......</v>
      </c>
      <c r="P271">
        <v>2813.6</v>
      </c>
      <c r="Q271">
        <v>2867.8</v>
      </c>
      <c r="R271">
        <v>2883.8</v>
      </c>
      <c r="S271">
        <v>2915.8</v>
      </c>
      <c r="T271">
        <v>2947.8</v>
      </c>
      <c r="U271">
        <v>3005.16</v>
      </c>
      <c r="V271">
        <v>3019.5</v>
      </c>
      <c r="W271">
        <v>3059.22</v>
      </c>
      <c r="X271">
        <v>3085.7</v>
      </c>
      <c r="Y271">
        <v>3110.7799999999997</v>
      </c>
      <c r="Z271">
        <v>3148.4</v>
      </c>
      <c r="AA271">
        <v>3160.48</v>
      </c>
      <c r="AB271">
        <v>3208.8</v>
      </c>
      <c r="AC271">
        <v>3267.7</v>
      </c>
      <c r="AD271">
        <v>3325.8</v>
      </c>
      <c r="AE271">
        <v>3383.3</v>
      </c>
      <c r="AF271">
        <v>3440.5</v>
      </c>
      <c r="AG271">
        <v>3497.6</v>
      </c>
      <c r="AH271">
        <v>3554.7</v>
      </c>
      <c r="AI271">
        <v>3612</v>
      </c>
      <c r="AJ271">
        <v>3669.5</v>
      </c>
      <c r="AK271">
        <v>3727.25</v>
      </c>
      <c r="AL271">
        <v>3785</v>
      </c>
      <c r="AS271">
        <v>101.325</v>
      </c>
    </row>
    <row r="272" spans="1:45" x14ac:dyDescent="0.3">
      <c r="A272">
        <v>4400</v>
      </c>
      <c r="B272">
        <v>256.05</v>
      </c>
      <c r="C272" t="str">
        <v>S</v>
      </c>
      <c r="D272">
        <v>2.8487</v>
      </c>
      <c r="E272">
        <v>6.0286</v>
      </c>
      <c r="F272" t="str">
        <v>.......</v>
      </c>
      <c r="G272" t="str">
        <v>.......</v>
      </c>
      <c r="H272" t="str">
        <v>.......</v>
      </c>
      <c r="I272" t="str">
        <v>.......</v>
      </c>
      <c r="J272" t="str">
        <v>.......</v>
      </c>
      <c r="K272" t="str">
        <v>.......</v>
      </c>
      <c r="L272" t="str">
        <v>.......</v>
      </c>
      <c r="M272" t="str">
        <v>.......</v>
      </c>
      <c r="N272" t="str">
        <v>.......</v>
      </c>
      <c r="O272" t="str">
        <v>.......</v>
      </c>
      <c r="P272">
        <v>6.0575000000000001</v>
      </c>
      <c r="Q272">
        <v>6.1577000000000002</v>
      </c>
      <c r="R272">
        <v>6.18628</v>
      </c>
      <c r="S272">
        <v>6.2434399999999997</v>
      </c>
      <c r="T272">
        <v>6.3006000000000002</v>
      </c>
      <c r="U272">
        <v>6.3985200000000004</v>
      </c>
      <c r="V272">
        <v>6.423</v>
      </c>
      <c r="W272">
        <v>6.4881000000000002</v>
      </c>
      <c r="X272">
        <v>6.5315000000000003</v>
      </c>
      <c r="Y272">
        <v>6.5709400000000002</v>
      </c>
      <c r="Z272">
        <v>6.6300999999999997</v>
      </c>
      <c r="AA272">
        <v>6.6483999999999996</v>
      </c>
      <c r="AB272">
        <v>6.7215999999999996</v>
      </c>
      <c r="AC272">
        <v>6.8075999999999999</v>
      </c>
      <c r="AD272">
        <v>6.8891999999999998</v>
      </c>
      <c r="AE272">
        <v>6.9673999999999996</v>
      </c>
      <c r="AF272">
        <v>7.0426000000000002</v>
      </c>
      <c r="AG272">
        <v>7.1153000000000004</v>
      </c>
      <c r="AH272">
        <v>7.1858000000000004</v>
      </c>
      <c r="AI272">
        <v>7.2544000000000004</v>
      </c>
      <c r="AJ272">
        <v>7.3211000000000004</v>
      </c>
      <c r="AK272">
        <v>7.3854500000000005</v>
      </c>
      <c r="AL272">
        <v>7.4497999999999998</v>
      </c>
      <c r="AS272">
        <v>125</v>
      </c>
    </row>
    <row r="273" spans="1:45" x14ac:dyDescent="0.3">
      <c r="A273">
        <f t="array" ref="A273:AL276">+_xlfn._xlws.FILTER(A304:AL847,A304:A847=I263)</f>
        <v>4500</v>
      </c>
      <c r="B273">
        <v>257.41000000000003</v>
      </c>
      <c r="C273" t="str">
        <v>V</v>
      </c>
      <c r="D273">
        <v>1.2689999999999999</v>
      </c>
      <c r="E273">
        <v>44.036999999999999</v>
      </c>
      <c r="F273" t="str">
        <v>.......</v>
      </c>
      <c r="G273" t="str">
        <v>.......</v>
      </c>
      <c r="H273" t="str">
        <v>.......</v>
      </c>
      <c r="I273" t="str">
        <v>.......</v>
      </c>
      <c r="J273" t="str">
        <v>.......</v>
      </c>
      <c r="K273" t="str">
        <v>.......</v>
      </c>
      <c r="L273" t="str">
        <v>.......</v>
      </c>
      <c r="M273" t="str">
        <v>.......</v>
      </c>
      <c r="N273" t="str">
        <v>.......</v>
      </c>
      <c r="O273" t="str">
        <v>.......</v>
      </c>
      <c r="P273">
        <v>44.54</v>
      </c>
      <c r="Q273">
        <v>47.273000000000003</v>
      </c>
      <c r="R273">
        <v>48.085599999999999</v>
      </c>
      <c r="S273">
        <v>49.710799999999999</v>
      </c>
      <c r="T273">
        <v>51.335999999999999</v>
      </c>
      <c r="U273">
        <v>54.264000000000003</v>
      </c>
      <c r="V273">
        <v>54.996000000000002</v>
      </c>
      <c r="W273">
        <v>57.036000000000001</v>
      </c>
      <c r="X273">
        <v>58.396000000000001</v>
      </c>
      <c r="Y273">
        <v>59.685600000000001</v>
      </c>
      <c r="Z273">
        <v>61.62</v>
      </c>
      <c r="AA273">
        <v>62.240200000000002</v>
      </c>
      <c r="AB273">
        <v>64.721000000000004</v>
      </c>
      <c r="AC273">
        <v>67.731999999999999</v>
      </c>
      <c r="AD273">
        <v>70.677000000000007</v>
      </c>
      <c r="AE273">
        <v>73.572000000000003</v>
      </c>
      <c r="AF273">
        <v>76.427000000000007</v>
      </c>
      <c r="AG273">
        <v>79.248999999999995</v>
      </c>
      <c r="AH273">
        <v>82.043999999999997</v>
      </c>
      <c r="AI273">
        <v>84.816999999999993</v>
      </c>
      <c r="AJ273">
        <v>87.57</v>
      </c>
      <c r="AK273">
        <v>90.297499999999999</v>
      </c>
      <c r="AL273">
        <v>93.025000000000006</v>
      </c>
      <c r="AS273">
        <v>150</v>
      </c>
    </row>
    <row r="274" spans="1:45" x14ac:dyDescent="0.3">
      <c r="A274">
        <v>4500</v>
      </c>
      <c r="B274">
        <v>257.41000000000003</v>
      </c>
      <c r="C274" t="str">
        <v>U</v>
      </c>
      <c r="D274">
        <v>1116.4000000000001</v>
      </c>
      <c r="E274">
        <v>2599.5</v>
      </c>
      <c r="F274" t="str">
        <v>.......</v>
      </c>
      <c r="G274" t="str">
        <v>.......</v>
      </c>
      <c r="H274" t="str">
        <v>.......</v>
      </c>
      <c r="I274" t="str">
        <v>.......</v>
      </c>
      <c r="J274" t="str">
        <v>.......</v>
      </c>
      <c r="K274" t="str">
        <v>.......</v>
      </c>
      <c r="L274" t="str">
        <v>.......</v>
      </c>
      <c r="M274" t="str">
        <v>.......</v>
      </c>
      <c r="N274" t="str">
        <v>.......</v>
      </c>
      <c r="O274" t="str">
        <v>.......</v>
      </c>
      <c r="P274">
        <v>2607.4</v>
      </c>
      <c r="Q274">
        <v>2650.3</v>
      </c>
      <c r="R274">
        <v>2662.88</v>
      </c>
      <c r="S274">
        <v>2688.04</v>
      </c>
      <c r="T274">
        <v>2713.2</v>
      </c>
      <c r="U274">
        <v>2757.92</v>
      </c>
      <c r="V274">
        <v>2769.1</v>
      </c>
      <c r="W274">
        <v>2799.94</v>
      </c>
      <c r="X274">
        <v>2820.5</v>
      </c>
      <c r="Y274">
        <v>2839.94</v>
      </c>
      <c r="Z274">
        <v>2869.1</v>
      </c>
      <c r="AA274">
        <v>2878.44</v>
      </c>
      <c r="AB274">
        <v>2915.8</v>
      </c>
      <c r="AC274">
        <v>2961.4</v>
      </c>
      <c r="AD274">
        <v>3006.3</v>
      </c>
      <c r="AE274">
        <v>3050.9</v>
      </c>
      <c r="AF274">
        <v>3095.4</v>
      </c>
      <c r="AG274">
        <v>3139.9</v>
      </c>
      <c r="AH274">
        <v>3184.6</v>
      </c>
      <c r="AI274">
        <v>3229.5</v>
      </c>
      <c r="AJ274">
        <v>3274.6</v>
      </c>
      <c r="AK274">
        <v>3320.1499999999996</v>
      </c>
      <c r="AL274">
        <v>3365.7</v>
      </c>
      <c r="AS274">
        <v>175</v>
      </c>
    </row>
    <row r="275" spans="1:45" x14ac:dyDescent="0.3">
      <c r="A275">
        <v>4500</v>
      </c>
      <c r="B275">
        <v>257.41000000000003</v>
      </c>
      <c r="C275" t="str">
        <v>H</v>
      </c>
      <c r="D275">
        <v>1122.0999999999999</v>
      </c>
      <c r="E275">
        <v>2797.7</v>
      </c>
      <c r="F275" t="str">
        <v>.......</v>
      </c>
      <c r="G275" t="str">
        <v>.......</v>
      </c>
      <c r="H275" t="str">
        <v>.......</v>
      </c>
      <c r="I275" t="str">
        <v>.......</v>
      </c>
      <c r="J275" t="str">
        <v>.......</v>
      </c>
      <c r="K275" t="str">
        <v>.......</v>
      </c>
      <c r="L275" t="str">
        <v>.......</v>
      </c>
      <c r="M275" t="str">
        <v>.......</v>
      </c>
      <c r="N275" t="str">
        <v>.......</v>
      </c>
      <c r="O275" t="str">
        <v>.......</v>
      </c>
      <c r="P275">
        <v>2807.9</v>
      </c>
      <c r="Q275">
        <v>2863</v>
      </c>
      <c r="R275">
        <v>2879.24</v>
      </c>
      <c r="S275">
        <v>2911.72</v>
      </c>
      <c r="T275">
        <v>2944.2</v>
      </c>
      <c r="U275">
        <v>3002.12</v>
      </c>
      <c r="V275">
        <v>3016.6</v>
      </c>
      <c r="W275">
        <v>3056.62</v>
      </c>
      <c r="X275">
        <v>3083.3</v>
      </c>
      <c r="Y275">
        <v>3108.54</v>
      </c>
      <c r="Z275">
        <v>3146.4</v>
      </c>
      <c r="AA275">
        <v>3158.54</v>
      </c>
      <c r="AB275">
        <v>3207.1</v>
      </c>
      <c r="AC275">
        <v>3266.2</v>
      </c>
      <c r="AD275">
        <v>3324.4</v>
      </c>
      <c r="AE275">
        <v>3382</v>
      </c>
      <c r="AF275">
        <v>3439.3</v>
      </c>
      <c r="AG275">
        <v>3496.6</v>
      </c>
      <c r="AH275">
        <v>3553.8</v>
      </c>
      <c r="AI275">
        <v>3611.1</v>
      </c>
      <c r="AJ275">
        <v>3668.6</v>
      </c>
      <c r="AK275">
        <v>3726.45</v>
      </c>
      <c r="AL275">
        <v>3784.3</v>
      </c>
      <c r="AS275">
        <v>200</v>
      </c>
    </row>
    <row r="276" spans="1:45" x14ac:dyDescent="0.3">
      <c r="A276">
        <v>4500</v>
      </c>
      <c r="B276">
        <v>257.41000000000003</v>
      </c>
      <c r="C276" t="str">
        <v>S</v>
      </c>
      <c r="D276">
        <v>2.8612000000000002</v>
      </c>
      <c r="E276">
        <v>6.0190999999999999</v>
      </c>
      <c r="F276" t="str">
        <v>.......</v>
      </c>
      <c r="G276" t="str">
        <v>.......</v>
      </c>
      <c r="H276" t="str">
        <v>.......</v>
      </c>
      <c r="I276" t="str">
        <v>.......</v>
      </c>
      <c r="J276" t="str">
        <v>.......</v>
      </c>
      <c r="K276" t="str">
        <v>.......</v>
      </c>
      <c r="L276" t="str">
        <v>.......</v>
      </c>
      <c r="M276" t="str">
        <v>.......</v>
      </c>
      <c r="N276" t="str">
        <v>.......</v>
      </c>
      <c r="O276" t="str">
        <v>.......</v>
      </c>
      <c r="P276">
        <v>6.0381999999999998</v>
      </c>
      <c r="Q276">
        <v>6.1402999999999999</v>
      </c>
      <c r="R276">
        <v>6.1692799999999997</v>
      </c>
      <c r="S276">
        <v>6.2272400000000001</v>
      </c>
      <c r="T276">
        <v>6.2851999999999997</v>
      </c>
      <c r="U276">
        <v>6.38408</v>
      </c>
      <c r="V276">
        <v>6.4088000000000003</v>
      </c>
      <c r="W276">
        <v>6.4744400000000004</v>
      </c>
      <c r="X276">
        <v>6.5182000000000002</v>
      </c>
      <c r="Y276">
        <v>6.5578799999999999</v>
      </c>
      <c r="Z276">
        <v>6.6173999999999999</v>
      </c>
      <c r="AA276">
        <v>6.6357799999999996</v>
      </c>
      <c r="AB276">
        <v>6.7092999999999998</v>
      </c>
      <c r="AC276">
        <v>6.7954999999999997</v>
      </c>
      <c r="AD276">
        <v>6.8773999999999997</v>
      </c>
      <c r="AE276">
        <v>6.9558</v>
      </c>
      <c r="AF276">
        <v>7.0311000000000003</v>
      </c>
      <c r="AG276">
        <v>7.1040000000000001</v>
      </c>
      <c r="AH276">
        <v>7.1745999999999999</v>
      </c>
      <c r="AI276">
        <v>7.2431999999999999</v>
      </c>
      <c r="AJ276">
        <v>7.31</v>
      </c>
      <c r="AK276">
        <v>7.3743999999999996</v>
      </c>
      <c r="AL276">
        <v>7.4387999999999996</v>
      </c>
      <c r="AS276">
        <v>225</v>
      </c>
    </row>
    <row r="277" spans="1:45" x14ac:dyDescent="0.3">
      <c r="AS277">
        <v>250</v>
      </c>
    </row>
    <row r="278" spans="1:45" x14ac:dyDescent="0.3">
      <c r="A278" t="s">
        <v>22</v>
      </c>
      <c r="B278" t="s">
        <v>23</v>
      </c>
      <c r="C278" t="s">
        <v>2</v>
      </c>
      <c r="D278" t="s">
        <v>49</v>
      </c>
      <c r="E278">
        <f>+S9</f>
        <v>257.40544217687074</v>
      </c>
      <c r="F278">
        <v>75</v>
      </c>
      <c r="G278">
        <v>100</v>
      </c>
      <c r="H278">
        <v>125</v>
      </c>
      <c r="I278">
        <v>150</v>
      </c>
      <c r="J278">
        <v>175</v>
      </c>
      <c r="K278">
        <v>200</v>
      </c>
      <c r="L278">
        <v>220</v>
      </c>
      <c r="M278">
        <v>225</v>
      </c>
      <c r="N278">
        <v>240</v>
      </c>
      <c r="O278">
        <v>250</v>
      </c>
      <c r="P278">
        <v>260</v>
      </c>
      <c r="Q278">
        <v>275</v>
      </c>
      <c r="R278">
        <v>280</v>
      </c>
      <c r="S278">
        <v>290</v>
      </c>
      <c r="T278">
        <v>300</v>
      </c>
      <c r="U278">
        <v>320</v>
      </c>
      <c r="V278">
        <v>325</v>
      </c>
      <c r="W278">
        <v>340</v>
      </c>
      <c r="X278">
        <v>350</v>
      </c>
      <c r="Y278">
        <v>360</v>
      </c>
      <c r="Z278">
        <v>375</v>
      </c>
      <c r="AA278">
        <v>380</v>
      </c>
      <c r="AB278">
        <v>400</v>
      </c>
      <c r="AC278">
        <v>425</v>
      </c>
      <c r="AD278">
        <v>450</v>
      </c>
      <c r="AE278">
        <v>475</v>
      </c>
      <c r="AF278">
        <v>500</v>
      </c>
      <c r="AG278">
        <v>525</v>
      </c>
      <c r="AH278">
        <v>550</v>
      </c>
      <c r="AI278">
        <v>575</v>
      </c>
      <c r="AJ278">
        <v>600</v>
      </c>
      <c r="AK278">
        <v>625</v>
      </c>
      <c r="AL278">
        <v>650</v>
      </c>
      <c r="AS278">
        <v>275</v>
      </c>
    </row>
    <row r="279" spans="1:45" x14ac:dyDescent="0.3">
      <c r="A279" t="e" vm="1">
        <f t="array" ref="A279:AL280">+_xlfn._xlws.FILTER(A269:AL276,MID(A265,1,1)=C269:C276)</f>
        <v>#VALUE!</v>
      </c>
      <c r="B279" t="e" vm="1">
        <v>#VALUE!</v>
      </c>
      <c r="C279" t="e" vm="1">
        <v>#VALUE!</v>
      </c>
      <c r="D279" t="e" vm="1">
        <v>#VALUE!</v>
      </c>
      <c r="E279" t="e" vm="1">
        <v>#VALUE!</v>
      </c>
      <c r="F279" t="e" vm="1">
        <v>#VALUE!</v>
      </c>
      <c r="G279" t="e" vm="1">
        <v>#VALUE!</v>
      </c>
      <c r="H279" t="e" vm="1">
        <v>#VALUE!</v>
      </c>
      <c r="I279" t="e" vm="1">
        <v>#VALUE!</v>
      </c>
      <c r="J279" t="e" vm="1">
        <v>#VALUE!</v>
      </c>
      <c r="K279" t="e" vm="1">
        <v>#VALUE!</v>
      </c>
      <c r="L279" t="e" vm="1">
        <v>#VALUE!</v>
      </c>
      <c r="M279" t="e" vm="1">
        <v>#VALUE!</v>
      </c>
      <c r="N279" t="e" vm="1">
        <v>#VALUE!</v>
      </c>
      <c r="O279" t="e" vm="1">
        <v>#VALUE!</v>
      </c>
      <c r="P279" t="e" vm="1">
        <v>#VALUE!</v>
      </c>
      <c r="Q279" t="e" vm="1">
        <v>#VALUE!</v>
      </c>
      <c r="R279" t="e" vm="1">
        <v>#VALUE!</v>
      </c>
      <c r="S279" t="e" vm="1">
        <v>#VALUE!</v>
      </c>
      <c r="T279" t="e" vm="1">
        <v>#VALUE!</v>
      </c>
      <c r="U279" t="e" vm="1">
        <v>#VALUE!</v>
      </c>
      <c r="V279" t="e" vm="1">
        <v>#VALUE!</v>
      </c>
      <c r="W279" t="e" vm="1">
        <v>#VALUE!</v>
      </c>
      <c r="X279" t="e" vm="1">
        <v>#VALUE!</v>
      </c>
      <c r="Y279" t="e" vm="1">
        <v>#VALUE!</v>
      </c>
      <c r="Z279" t="e" vm="1">
        <v>#VALUE!</v>
      </c>
      <c r="AA279" t="e" vm="1">
        <v>#VALUE!</v>
      </c>
      <c r="AB279" t="e" vm="1">
        <v>#VALUE!</v>
      </c>
      <c r="AC279" t="e" vm="1">
        <v>#VALUE!</v>
      </c>
      <c r="AD279" t="e" vm="1">
        <v>#VALUE!</v>
      </c>
      <c r="AE279" t="e" vm="1">
        <v>#VALUE!</v>
      </c>
      <c r="AF279" t="e" vm="1">
        <v>#VALUE!</v>
      </c>
      <c r="AG279" t="e" vm="1">
        <v>#VALUE!</v>
      </c>
      <c r="AH279" t="e" vm="1">
        <v>#VALUE!</v>
      </c>
      <c r="AI279" t="e" vm="1">
        <v>#VALUE!</v>
      </c>
      <c r="AJ279" t="e" vm="1">
        <v>#VALUE!</v>
      </c>
      <c r="AK279" t="e" vm="1">
        <v>#VALUE!</v>
      </c>
      <c r="AL279" t="e" vm="1">
        <v>#VALUE!</v>
      </c>
      <c r="AS279">
        <v>300</v>
      </c>
    </row>
    <row r="280" spans="1:45" x14ac:dyDescent="0.3">
      <c r="A280" t="e" vm="1">
        <v>#VALUE!</v>
      </c>
      <c r="B280" t="e" vm="1">
        <v>#VALUE!</v>
      </c>
      <c r="C280" t="e" vm="1">
        <v>#VALUE!</v>
      </c>
      <c r="D280" t="e" vm="1">
        <v>#VALUE!</v>
      </c>
      <c r="E280" t="e" vm="1">
        <v>#VALUE!</v>
      </c>
      <c r="F280" t="e" vm="1">
        <v>#VALUE!</v>
      </c>
      <c r="G280" t="e" vm="1">
        <v>#VALUE!</v>
      </c>
      <c r="H280" t="e" vm="1">
        <v>#VALUE!</v>
      </c>
      <c r="I280" t="e" vm="1">
        <v>#VALUE!</v>
      </c>
      <c r="J280" t="e" vm="1">
        <v>#VALUE!</v>
      </c>
      <c r="K280" t="e" vm="1">
        <v>#VALUE!</v>
      </c>
      <c r="L280" t="e" vm="1">
        <v>#VALUE!</v>
      </c>
      <c r="M280" t="e" vm="1">
        <v>#VALUE!</v>
      </c>
      <c r="N280" t="e" vm="1">
        <v>#VALUE!</v>
      </c>
      <c r="O280" t="e" vm="1">
        <v>#VALUE!</v>
      </c>
      <c r="P280" t="e" vm="1">
        <v>#VALUE!</v>
      </c>
      <c r="Q280" t="e" vm="1">
        <v>#VALUE!</v>
      </c>
      <c r="R280" t="e" vm="1">
        <v>#VALUE!</v>
      </c>
      <c r="S280" t="e" vm="1">
        <v>#VALUE!</v>
      </c>
      <c r="T280" t="e" vm="1">
        <v>#VALUE!</v>
      </c>
      <c r="U280" t="e" vm="1">
        <v>#VALUE!</v>
      </c>
      <c r="V280" t="e" vm="1">
        <v>#VALUE!</v>
      </c>
      <c r="W280" t="e" vm="1">
        <v>#VALUE!</v>
      </c>
      <c r="X280" t="e" vm="1">
        <v>#VALUE!</v>
      </c>
      <c r="Y280" t="e" vm="1">
        <v>#VALUE!</v>
      </c>
      <c r="Z280" t="e" vm="1">
        <v>#VALUE!</v>
      </c>
      <c r="AA280" t="e" vm="1">
        <v>#VALUE!</v>
      </c>
      <c r="AB280" t="e" vm="1">
        <v>#VALUE!</v>
      </c>
      <c r="AC280" t="e" vm="1">
        <v>#VALUE!</v>
      </c>
      <c r="AD280" t="e" vm="1">
        <v>#VALUE!</v>
      </c>
      <c r="AE280" t="e" vm="1">
        <v>#VALUE!</v>
      </c>
      <c r="AF280" t="e" vm="1">
        <v>#VALUE!</v>
      </c>
      <c r="AG280" t="e" vm="1">
        <v>#VALUE!</v>
      </c>
      <c r="AH280" t="e" vm="1">
        <v>#VALUE!</v>
      </c>
      <c r="AI280" t="e" vm="1">
        <v>#VALUE!</v>
      </c>
      <c r="AJ280" t="e" vm="1">
        <v>#VALUE!</v>
      </c>
      <c r="AK280" t="e" vm="1">
        <v>#VALUE!</v>
      </c>
      <c r="AL280" t="e" vm="1">
        <v>#VALUE!</v>
      </c>
      <c r="AS280">
        <v>325</v>
      </c>
    </row>
    <row r="281" spans="1:45" x14ac:dyDescent="0.3">
      <c r="A281">
        <f>+B262</f>
        <v>4500</v>
      </c>
      <c r="B281">
        <f>+S9</f>
        <v>257.40544217687074</v>
      </c>
      <c r="C281">
        <f>+IF(A265=D262,B265,_xlfn.FORECAST.LINEAR($A$281,C279:C280,$A$279:$A$280))</f>
        <v>138.86199999999999</v>
      </c>
      <c r="D281">
        <f>+AA9</f>
        <v>257.40544217687074</v>
      </c>
      <c r="E281">
        <f>+AB9</f>
        <v>257.40544217687074</v>
      </c>
      <c r="F281" t="str">
        <f>+IF($A$265=$D$262,IF(F278&lt;$E$278,"…....",F278),IFERROR(_xlfn.FORECAST.LINEAR($A$281,F279:F280,$A$279:$A$280),"…...."))</f>
        <v>…....</v>
      </c>
      <c r="G281" t="str">
        <f t="shared" ref="G281:AL281" si="2">+IF($A$265=$D$262,IF(G278&lt;$E$278,"…....",G278),IFERROR(_xlfn.FORECAST.LINEAR($A$281,G279:G280,$A$279:$A$280),"…...."))</f>
        <v>…....</v>
      </c>
      <c r="H281" t="str">
        <f t="shared" si="2"/>
        <v>…....</v>
      </c>
      <c r="I281" t="str">
        <f t="shared" si="2"/>
        <v>…....</v>
      </c>
      <c r="J281" t="str">
        <f t="shared" si="2"/>
        <v>…....</v>
      </c>
      <c r="K281" t="str">
        <f t="shared" si="2"/>
        <v>…....</v>
      </c>
      <c r="L281" t="str">
        <f t="shared" si="2"/>
        <v>…....</v>
      </c>
      <c r="M281" t="str">
        <f t="shared" si="2"/>
        <v>…....</v>
      </c>
      <c r="N281" t="str">
        <f t="shared" si="2"/>
        <v>…....</v>
      </c>
      <c r="O281" t="str">
        <f t="shared" si="2"/>
        <v>…....</v>
      </c>
      <c r="P281">
        <f t="shared" si="2"/>
        <v>260</v>
      </c>
      <c r="Q281">
        <f t="shared" si="2"/>
        <v>275</v>
      </c>
      <c r="R281">
        <f t="shared" si="2"/>
        <v>280</v>
      </c>
      <c r="S281">
        <f t="shared" si="2"/>
        <v>290</v>
      </c>
      <c r="T281">
        <f t="shared" si="2"/>
        <v>300</v>
      </c>
      <c r="U281">
        <f t="shared" si="2"/>
        <v>320</v>
      </c>
      <c r="V281">
        <f t="shared" si="2"/>
        <v>325</v>
      </c>
      <c r="W281">
        <f t="shared" si="2"/>
        <v>340</v>
      </c>
      <c r="X281">
        <f t="shared" si="2"/>
        <v>350</v>
      </c>
      <c r="Y281">
        <f t="shared" si="2"/>
        <v>360</v>
      </c>
      <c r="Z281">
        <f t="shared" si="2"/>
        <v>375</v>
      </c>
      <c r="AA281">
        <f t="shared" si="2"/>
        <v>380</v>
      </c>
      <c r="AB281">
        <f t="shared" si="2"/>
        <v>400</v>
      </c>
      <c r="AC281">
        <f t="shared" si="2"/>
        <v>425</v>
      </c>
      <c r="AD281">
        <f t="shared" si="2"/>
        <v>450</v>
      </c>
      <c r="AE281">
        <f t="shared" si="2"/>
        <v>475</v>
      </c>
      <c r="AF281">
        <f t="shared" si="2"/>
        <v>500</v>
      </c>
      <c r="AG281">
        <f t="shared" si="2"/>
        <v>525</v>
      </c>
      <c r="AH281">
        <f t="shared" si="2"/>
        <v>550</v>
      </c>
      <c r="AI281">
        <f t="shared" si="2"/>
        <v>575</v>
      </c>
      <c r="AJ281">
        <f t="shared" si="2"/>
        <v>600</v>
      </c>
      <c r="AK281">
        <f t="shared" si="2"/>
        <v>625</v>
      </c>
      <c r="AL281">
        <f t="shared" si="2"/>
        <v>650</v>
      </c>
      <c r="AS281">
        <v>350</v>
      </c>
    </row>
    <row r="282" spans="1:45" x14ac:dyDescent="0.3">
      <c r="AS282">
        <v>375</v>
      </c>
    </row>
    <row r="283" spans="1:45" x14ac:dyDescent="0.3">
      <c r="A283" t="s">
        <v>66</v>
      </c>
      <c r="B283" t="s">
        <v>82</v>
      </c>
      <c r="C283" t="s">
        <v>83</v>
      </c>
      <c r="D283" t="s">
        <v>64</v>
      </c>
      <c r="E283" t="s">
        <v>65</v>
      </c>
      <c r="F283" t="s">
        <v>2</v>
      </c>
      <c r="AS283">
        <v>400</v>
      </c>
    </row>
    <row r="284" spans="1:45" x14ac:dyDescent="0.3">
      <c r="A284" t="e" cm="1">
        <f t="array" ref="A284">+MATCH(B265,_xlfn._xlws.FILTER(E281:AL281,ISNUMBER(E281:AL281),1))</f>
        <v>#N/A</v>
      </c>
      <c r="B284" t="e">
        <f>+SMALL(E281:AL281,A284)</f>
        <v>#N/A</v>
      </c>
      <c r="C284" t="e">
        <f>+SMALL(E281:AL281,A284+1)</f>
        <v>#N/A</v>
      </c>
      <c r="D284" t="e" cm="1">
        <f t="array" ref="D284">+INDEX(_xlfn._xlws.FILTER($E$278:$AL$278,$E$278:$AL$278&gt;=$B$281),1,$A$284)</f>
        <v>#N/A</v>
      </c>
      <c r="E284" t="e" cm="1">
        <f t="array" ref="E284">+INDEX(_xlfn._xlws.FILTER($E$278:$AL$278,$E$278:$AL$278&gt;=$B$281),1,$A$284+1)</f>
        <v>#N/A</v>
      </c>
      <c r="F284" t="e">
        <f>+_xlfn.FORECAST.LINEAR(B265,D284:E284,B284:C284)</f>
        <v>#N/A</v>
      </c>
      <c r="AS284">
        <v>425</v>
      </c>
    </row>
    <row r="285" spans="1:45" x14ac:dyDescent="0.3">
      <c r="AS285">
        <v>450</v>
      </c>
    </row>
    <row r="286" spans="1:45" x14ac:dyDescent="0.3">
      <c r="A286" t="str">
        <f>+A268</f>
        <v>P/kPa</v>
      </c>
      <c r="B286" t="str">
        <f t="shared" ref="B286:AL287" si="3">+B268</f>
        <v>tsat/°C</v>
      </c>
      <c r="C286" t="str">
        <f t="shared" si="3"/>
        <v>T</v>
      </c>
      <c r="D286" t="str">
        <f t="shared" si="3"/>
        <v>liq sat</v>
      </c>
      <c r="E286" t="str">
        <f t="shared" si="3"/>
        <v>vap sat</v>
      </c>
      <c r="F286">
        <f t="shared" si="3"/>
        <v>75</v>
      </c>
      <c r="G286">
        <f t="shared" si="3"/>
        <v>100</v>
      </c>
      <c r="H286">
        <f t="shared" si="3"/>
        <v>125</v>
      </c>
      <c r="I286">
        <f t="shared" si="3"/>
        <v>150</v>
      </c>
      <c r="J286">
        <f t="shared" si="3"/>
        <v>175</v>
      </c>
      <c r="K286">
        <f t="shared" si="3"/>
        <v>200</v>
      </c>
      <c r="L286">
        <f t="shared" si="3"/>
        <v>220</v>
      </c>
      <c r="M286">
        <f t="shared" si="3"/>
        <v>225</v>
      </c>
      <c r="N286">
        <f t="shared" si="3"/>
        <v>240</v>
      </c>
      <c r="O286">
        <f t="shared" si="3"/>
        <v>250</v>
      </c>
      <c r="P286">
        <f t="shared" si="3"/>
        <v>260</v>
      </c>
      <c r="Q286">
        <f t="shared" si="3"/>
        <v>275</v>
      </c>
      <c r="R286">
        <f t="shared" si="3"/>
        <v>280</v>
      </c>
      <c r="S286">
        <f t="shared" si="3"/>
        <v>290</v>
      </c>
      <c r="T286">
        <f t="shared" si="3"/>
        <v>300</v>
      </c>
      <c r="U286">
        <f t="shared" si="3"/>
        <v>320</v>
      </c>
      <c r="V286">
        <f t="shared" si="3"/>
        <v>325</v>
      </c>
      <c r="W286">
        <f t="shared" si="3"/>
        <v>340</v>
      </c>
      <c r="X286">
        <f t="shared" si="3"/>
        <v>350</v>
      </c>
      <c r="Y286">
        <f t="shared" si="3"/>
        <v>360</v>
      </c>
      <c r="Z286">
        <f t="shared" si="3"/>
        <v>375</v>
      </c>
      <c r="AA286">
        <f t="shared" si="3"/>
        <v>380</v>
      </c>
      <c r="AB286">
        <f t="shared" si="3"/>
        <v>400</v>
      </c>
      <c r="AC286">
        <f t="shared" si="3"/>
        <v>425</v>
      </c>
      <c r="AD286">
        <f t="shared" si="3"/>
        <v>450</v>
      </c>
      <c r="AE286">
        <f t="shared" si="3"/>
        <v>475</v>
      </c>
      <c r="AF286">
        <f t="shared" si="3"/>
        <v>500</v>
      </c>
      <c r="AG286">
        <f t="shared" si="3"/>
        <v>525</v>
      </c>
      <c r="AH286">
        <f t="shared" si="3"/>
        <v>550</v>
      </c>
      <c r="AI286">
        <f t="shared" si="3"/>
        <v>575</v>
      </c>
      <c r="AJ286">
        <f t="shared" si="3"/>
        <v>600</v>
      </c>
      <c r="AK286">
        <f t="shared" si="3"/>
        <v>625</v>
      </c>
      <c r="AL286">
        <f t="shared" si="3"/>
        <v>650</v>
      </c>
      <c r="AS286">
        <v>475</v>
      </c>
    </row>
    <row r="287" spans="1:45" x14ac:dyDescent="0.3">
      <c r="A287">
        <f>+A269</f>
        <v>4400</v>
      </c>
      <c r="B287">
        <f t="shared" si="3"/>
        <v>256.05</v>
      </c>
      <c r="C287" t="str">
        <f t="shared" si="3"/>
        <v>V</v>
      </c>
      <c r="D287">
        <f t="shared" si="3"/>
        <v>1.266</v>
      </c>
      <c r="E287">
        <f t="shared" si="3"/>
        <v>45.079000000000001</v>
      </c>
      <c r="F287" t="str">
        <f t="shared" si="3"/>
        <v>.......</v>
      </c>
      <c r="G287" t="str">
        <f t="shared" si="3"/>
        <v>.......</v>
      </c>
      <c r="H287" t="str">
        <f t="shared" si="3"/>
        <v>.......</v>
      </c>
      <c r="I287" t="str">
        <f t="shared" si="3"/>
        <v>.......</v>
      </c>
      <c r="J287" t="str">
        <f t="shared" si="3"/>
        <v>.......</v>
      </c>
      <c r="K287" t="str">
        <f t="shared" si="3"/>
        <v>.......</v>
      </c>
      <c r="L287" t="str">
        <f t="shared" si="3"/>
        <v>.......</v>
      </c>
      <c r="M287" t="str">
        <f t="shared" si="3"/>
        <v>.......</v>
      </c>
      <c r="N287" t="str">
        <f t="shared" si="3"/>
        <v>.......</v>
      </c>
      <c r="O287" t="str">
        <f t="shared" si="3"/>
        <v>.......</v>
      </c>
      <c r="P287">
        <f t="shared" si="3"/>
        <v>45.853000000000002</v>
      </c>
      <c r="Q287">
        <f t="shared" si="3"/>
        <v>48.600999999999999</v>
      </c>
      <c r="R287">
        <f t="shared" si="3"/>
        <v>49.421199999999999</v>
      </c>
      <c r="S287">
        <f t="shared" si="3"/>
        <v>51.061599999999999</v>
      </c>
      <c r="T287">
        <f t="shared" si="3"/>
        <v>52.701999999999998</v>
      </c>
      <c r="U287">
        <f t="shared" si="3"/>
        <v>55.6676</v>
      </c>
      <c r="V287">
        <f t="shared" si="3"/>
        <v>56.408999999999999</v>
      </c>
      <c r="W287">
        <f t="shared" si="3"/>
        <v>58.480199999999996</v>
      </c>
      <c r="X287">
        <f t="shared" si="3"/>
        <v>59.860999999999997</v>
      </c>
      <c r="Y287">
        <f t="shared" si="3"/>
        <v>61.172199999999997</v>
      </c>
      <c r="Z287">
        <f t="shared" si="3"/>
        <v>63.139000000000003</v>
      </c>
      <c r="AA287">
        <f t="shared" si="3"/>
        <v>63.770200000000003</v>
      </c>
      <c r="AB287">
        <f t="shared" si="3"/>
        <v>66.295000000000002</v>
      </c>
      <c r="AC287">
        <f t="shared" si="3"/>
        <v>69.363</v>
      </c>
      <c r="AD287">
        <f t="shared" si="3"/>
        <v>72.364999999999995</v>
      </c>
      <c r="AE287">
        <f t="shared" si="3"/>
        <v>75.316999999999993</v>
      </c>
      <c r="AF287">
        <f t="shared" si="3"/>
        <v>78.228999999999999</v>
      </c>
      <c r="AG287">
        <f t="shared" si="3"/>
        <v>81.11</v>
      </c>
      <c r="AH287">
        <f t="shared" si="3"/>
        <v>83.962999999999994</v>
      </c>
      <c r="AI287">
        <f t="shared" si="3"/>
        <v>86.793999999999997</v>
      </c>
      <c r="AJ287">
        <f t="shared" si="3"/>
        <v>89.605000000000004</v>
      </c>
      <c r="AK287">
        <f t="shared" si="3"/>
        <v>92.391000000000005</v>
      </c>
      <c r="AL287">
        <f t="shared" si="3"/>
        <v>95.177000000000007</v>
      </c>
      <c r="AS287">
        <v>500</v>
      </c>
    </row>
    <row r="288" spans="1:45" x14ac:dyDescent="0.3">
      <c r="A288">
        <f>+A273</f>
        <v>4500</v>
      </c>
      <c r="B288">
        <f t="shared" ref="B288:AL288" si="4">+B273</f>
        <v>257.41000000000003</v>
      </c>
      <c r="C288" t="str">
        <f t="shared" si="4"/>
        <v>V</v>
      </c>
      <c r="D288">
        <f t="shared" si="4"/>
        <v>1.2689999999999999</v>
      </c>
      <c r="E288">
        <f t="shared" si="4"/>
        <v>44.036999999999999</v>
      </c>
      <c r="F288" t="str">
        <f t="shared" si="4"/>
        <v>.......</v>
      </c>
      <c r="G288" t="str">
        <f t="shared" si="4"/>
        <v>.......</v>
      </c>
      <c r="H288" t="str">
        <f t="shared" si="4"/>
        <v>.......</v>
      </c>
      <c r="I288" t="str">
        <f t="shared" si="4"/>
        <v>.......</v>
      </c>
      <c r="J288" t="str">
        <f t="shared" si="4"/>
        <v>.......</v>
      </c>
      <c r="K288" t="str">
        <f t="shared" si="4"/>
        <v>.......</v>
      </c>
      <c r="L288" t="str">
        <f t="shared" si="4"/>
        <v>.......</v>
      </c>
      <c r="M288" t="str">
        <f t="shared" si="4"/>
        <v>.......</v>
      </c>
      <c r="N288" t="str">
        <f t="shared" si="4"/>
        <v>.......</v>
      </c>
      <c r="O288" t="str">
        <f t="shared" si="4"/>
        <v>.......</v>
      </c>
      <c r="P288">
        <f t="shared" si="4"/>
        <v>44.54</v>
      </c>
      <c r="Q288">
        <f t="shared" si="4"/>
        <v>47.273000000000003</v>
      </c>
      <c r="R288">
        <f t="shared" si="4"/>
        <v>48.085599999999999</v>
      </c>
      <c r="S288">
        <f t="shared" si="4"/>
        <v>49.710799999999999</v>
      </c>
      <c r="T288">
        <f t="shared" si="4"/>
        <v>51.335999999999999</v>
      </c>
      <c r="U288">
        <f t="shared" si="4"/>
        <v>54.264000000000003</v>
      </c>
      <c r="V288">
        <f t="shared" si="4"/>
        <v>54.996000000000002</v>
      </c>
      <c r="W288">
        <f t="shared" si="4"/>
        <v>57.036000000000001</v>
      </c>
      <c r="X288">
        <f t="shared" si="4"/>
        <v>58.396000000000001</v>
      </c>
      <c r="Y288">
        <f t="shared" si="4"/>
        <v>59.685600000000001</v>
      </c>
      <c r="Z288">
        <f t="shared" si="4"/>
        <v>61.62</v>
      </c>
      <c r="AA288">
        <f t="shared" si="4"/>
        <v>62.240200000000002</v>
      </c>
      <c r="AB288">
        <f t="shared" si="4"/>
        <v>64.721000000000004</v>
      </c>
      <c r="AC288">
        <f t="shared" si="4"/>
        <v>67.731999999999999</v>
      </c>
      <c r="AD288">
        <f t="shared" si="4"/>
        <v>70.677000000000007</v>
      </c>
      <c r="AE288">
        <f t="shared" si="4"/>
        <v>73.572000000000003</v>
      </c>
      <c r="AF288">
        <f t="shared" si="4"/>
        <v>76.427000000000007</v>
      </c>
      <c r="AG288">
        <f t="shared" si="4"/>
        <v>79.248999999999995</v>
      </c>
      <c r="AH288">
        <f t="shared" si="4"/>
        <v>82.043999999999997</v>
      </c>
      <c r="AI288">
        <f t="shared" si="4"/>
        <v>84.816999999999993</v>
      </c>
      <c r="AJ288">
        <f t="shared" si="4"/>
        <v>87.57</v>
      </c>
      <c r="AK288">
        <f t="shared" si="4"/>
        <v>90.297499999999999</v>
      </c>
      <c r="AL288">
        <f t="shared" si="4"/>
        <v>93.025000000000006</v>
      </c>
      <c r="AS288">
        <v>525</v>
      </c>
    </row>
    <row r="289" spans="1:45" x14ac:dyDescent="0.3">
      <c r="A289">
        <f>+A270</f>
        <v>4400</v>
      </c>
      <c r="B289">
        <f>+B270</f>
        <v>256.05</v>
      </c>
      <c r="C289" t="str">
        <f>+C270</f>
        <v>U</v>
      </c>
      <c r="D289">
        <f t="shared" ref="D289:AL289" si="5">+D270</f>
        <v>1109.8</v>
      </c>
      <c r="E289">
        <f t="shared" si="5"/>
        <v>2599.9</v>
      </c>
      <c r="F289" t="str">
        <f t="shared" si="5"/>
        <v>.......</v>
      </c>
      <c r="G289" t="str">
        <f t="shared" si="5"/>
        <v>.......</v>
      </c>
      <c r="H289" t="str">
        <f t="shared" si="5"/>
        <v>.......</v>
      </c>
      <c r="I289" t="str">
        <f t="shared" si="5"/>
        <v>.......</v>
      </c>
      <c r="J289" t="str">
        <f t="shared" si="5"/>
        <v>.......</v>
      </c>
      <c r="K289" t="str">
        <f t="shared" si="5"/>
        <v>.......</v>
      </c>
      <c r="L289" t="str">
        <f t="shared" si="5"/>
        <v>.......</v>
      </c>
      <c r="M289" t="str">
        <f t="shared" si="5"/>
        <v>.......</v>
      </c>
      <c r="N289" t="str">
        <f t="shared" si="5"/>
        <v>.......</v>
      </c>
      <c r="O289" t="str">
        <f t="shared" si="5"/>
        <v>.......</v>
      </c>
      <c r="P289">
        <f t="shared" si="5"/>
        <v>2611.8000000000002</v>
      </c>
      <c r="Q289">
        <f t="shared" si="5"/>
        <v>2653.9</v>
      </c>
      <c r="R289">
        <f t="shared" si="5"/>
        <v>2666.32</v>
      </c>
      <c r="S289">
        <f t="shared" si="5"/>
        <v>2691.16</v>
      </c>
      <c r="T289">
        <f t="shared" si="5"/>
        <v>2716</v>
      </c>
      <c r="U289">
        <f t="shared" si="5"/>
        <v>2760.2400000000002</v>
      </c>
      <c r="V289">
        <f t="shared" si="5"/>
        <v>2771.3</v>
      </c>
      <c r="W289">
        <f t="shared" si="5"/>
        <v>2801.9</v>
      </c>
      <c r="X289">
        <f t="shared" si="5"/>
        <v>2822.3</v>
      </c>
      <c r="Y289">
        <f t="shared" si="5"/>
        <v>2841.62</v>
      </c>
      <c r="Z289">
        <f t="shared" si="5"/>
        <v>2870.6</v>
      </c>
      <c r="AA289">
        <f t="shared" si="5"/>
        <v>2879.9</v>
      </c>
      <c r="AB289">
        <f t="shared" si="5"/>
        <v>2917.1</v>
      </c>
      <c r="AC289">
        <f t="shared" si="5"/>
        <v>2962.5</v>
      </c>
      <c r="AD289">
        <f t="shared" si="5"/>
        <v>3007.4</v>
      </c>
      <c r="AE289">
        <f t="shared" si="5"/>
        <v>3051.9</v>
      </c>
      <c r="AF289">
        <f t="shared" si="5"/>
        <v>3096.3</v>
      </c>
      <c r="AG289">
        <f t="shared" si="5"/>
        <v>3140.7</v>
      </c>
      <c r="AH289">
        <f t="shared" si="5"/>
        <v>3185.3</v>
      </c>
      <c r="AI289">
        <f t="shared" si="5"/>
        <v>3230.1</v>
      </c>
      <c r="AJ289">
        <f t="shared" si="5"/>
        <v>3275.2</v>
      </c>
      <c r="AK289">
        <f t="shared" si="5"/>
        <v>3320.7</v>
      </c>
      <c r="AL289">
        <f t="shared" si="5"/>
        <v>3366.2</v>
      </c>
      <c r="AS289">
        <v>550</v>
      </c>
    </row>
    <row r="290" spans="1:45" x14ac:dyDescent="0.3">
      <c r="A290">
        <f>+A274</f>
        <v>4500</v>
      </c>
      <c r="B290">
        <f>+B274</f>
        <v>257.41000000000003</v>
      </c>
      <c r="C290" t="str">
        <f>+C274</f>
        <v>U</v>
      </c>
      <c r="D290">
        <f t="shared" ref="D290:AL290" si="6">+D274</f>
        <v>1116.4000000000001</v>
      </c>
      <c r="E290">
        <f t="shared" si="6"/>
        <v>2599.5</v>
      </c>
      <c r="F290" t="str">
        <f t="shared" si="6"/>
        <v>.......</v>
      </c>
      <c r="G290" t="str">
        <f t="shared" si="6"/>
        <v>.......</v>
      </c>
      <c r="H290" t="str">
        <f t="shared" si="6"/>
        <v>.......</v>
      </c>
      <c r="I290" t="str">
        <f t="shared" si="6"/>
        <v>.......</v>
      </c>
      <c r="J290" t="str">
        <f t="shared" si="6"/>
        <v>.......</v>
      </c>
      <c r="K290" t="str">
        <f t="shared" si="6"/>
        <v>.......</v>
      </c>
      <c r="L290" t="str">
        <f t="shared" si="6"/>
        <v>.......</v>
      </c>
      <c r="M290" t="str">
        <f t="shared" si="6"/>
        <v>.......</v>
      </c>
      <c r="N290" t="str">
        <f t="shared" si="6"/>
        <v>.......</v>
      </c>
      <c r="O290" t="str">
        <f t="shared" si="6"/>
        <v>.......</v>
      </c>
      <c r="P290">
        <f t="shared" si="6"/>
        <v>2607.4</v>
      </c>
      <c r="Q290">
        <f t="shared" si="6"/>
        <v>2650.3</v>
      </c>
      <c r="R290">
        <f t="shared" si="6"/>
        <v>2662.88</v>
      </c>
      <c r="S290">
        <f t="shared" si="6"/>
        <v>2688.04</v>
      </c>
      <c r="T290">
        <f t="shared" si="6"/>
        <v>2713.2</v>
      </c>
      <c r="U290">
        <f t="shared" si="6"/>
        <v>2757.92</v>
      </c>
      <c r="V290">
        <f t="shared" si="6"/>
        <v>2769.1</v>
      </c>
      <c r="W290">
        <f t="shared" si="6"/>
        <v>2799.94</v>
      </c>
      <c r="X290">
        <f t="shared" si="6"/>
        <v>2820.5</v>
      </c>
      <c r="Y290">
        <f t="shared" si="6"/>
        <v>2839.94</v>
      </c>
      <c r="Z290">
        <f t="shared" si="6"/>
        <v>2869.1</v>
      </c>
      <c r="AA290">
        <f t="shared" si="6"/>
        <v>2878.44</v>
      </c>
      <c r="AB290">
        <f t="shared" si="6"/>
        <v>2915.8</v>
      </c>
      <c r="AC290">
        <f t="shared" si="6"/>
        <v>2961.4</v>
      </c>
      <c r="AD290">
        <f t="shared" si="6"/>
        <v>3006.3</v>
      </c>
      <c r="AE290">
        <f t="shared" si="6"/>
        <v>3050.9</v>
      </c>
      <c r="AF290">
        <f t="shared" si="6"/>
        <v>3095.4</v>
      </c>
      <c r="AG290">
        <f t="shared" si="6"/>
        <v>3139.9</v>
      </c>
      <c r="AH290">
        <f t="shared" si="6"/>
        <v>3184.6</v>
      </c>
      <c r="AI290">
        <f t="shared" si="6"/>
        <v>3229.5</v>
      </c>
      <c r="AJ290">
        <f t="shared" si="6"/>
        <v>3274.6</v>
      </c>
      <c r="AK290">
        <f t="shared" si="6"/>
        <v>3320.1499999999996</v>
      </c>
      <c r="AL290">
        <f t="shared" si="6"/>
        <v>3365.7</v>
      </c>
      <c r="AS290">
        <v>575</v>
      </c>
    </row>
    <row r="291" spans="1:45" x14ac:dyDescent="0.3">
      <c r="A291">
        <f>+A271</f>
        <v>4400</v>
      </c>
      <c r="B291">
        <f t="shared" ref="B291:AL291" si="7">+B271</f>
        <v>256.05</v>
      </c>
      <c r="C291" t="str">
        <f t="shared" si="7"/>
        <v>H</v>
      </c>
      <c r="D291">
        <f t="shared" si="7"/>
        <v>1115.4000000000001</v>
      </c>
      <c r="E291">
        <f t="shared" si="7"/>
        <v>2798.3</v>
      </c>
      <c r="F291" t="str">
        <f t="shared" si="7"/>
        <v>.......</v>
      </c>
      <c r="G291" t="str">
        <f t="shared" si="7"/>
        <v>.......</v>
      </c>
      <c r="H291" t="str">
        <f t="shared" si="7"/>
        <v>.......</v>
      </c>
      <c r="I291" t="str">
        <f t="shared" si="7"/>
        <v>.......</v>
      </c>
      <c r="J291" t="str">
        <f t="shared" si="7"/>
        <v>.......</v>
      </c>
      <c r="K291" t="str">
        <f t="shared" si="7"/>
        <v>.......</v>
      </c>
      <c r="L291" t="str">
        <f t="shared" si="7"/>
        <v>.......</v>
      </c>
      <c r="M291" t="str">
        <f t="shared" si="7"/>
        <v>.......</v>
      </c>
      <c r="N291" t="str">
        <f t="shared" si="7"/>
        <v>.......</v>
      </c>
      <c r="O291" t="str">
        <f t="shared" si="7"/>
        <v>.......</v>
      </c>
      <c r="P291">
        <f t="shared" si="7"/>
        <v>2813.6</v>
      </c>
      <c r="Q291">
        <f t="shared" si="7"/>
        <v>2867.8</v>
      </c>
      <c r="R291">
        <f t="shared" si="7"/>
        <v>2883.8</v>
      </c>
      <c r="S291">
        <f t="shared" si="7"/>
        <v>2915.8</v>
      </c>
      <c r="T291">
        <f t="shared" si="7"/>
        <v>2947.8</v>
      </c>
      <c r="U291">
        <f t="shared" si="7"/>
        <v>3005.16</v>
      </c>
      <c r="V291">
        <f t="shared" si="7"/>
        <v>3019.5</v>
      </c>
      <c r="W291">
        <f t="shared" si="7"/>
        <v>3059.22</v>
      </c>
      <c r="X291">
        <f t="shared" si="7"/>
        <v>3085.7</v>
      </c>
      <c r="Y291">
        <f t="shared" si="7"/>
        <v>3110.7799999999997</v>
      </c>
      <c r="Z291">
        <f t="shared" si="7"/>
        <v>3148.4</v>
      </c>
      <c r="AA291">
        <f t="shared" si="7"/>
        <v>3160.48</v>
      </c>
      <c r="AB291">
        <f t="shared" si="7"/>
        <v>3208.8</v>
      </c>
      <c r="AC291">
        <f t="shared" si="7"/>
        <v>3267.7</v>
      </c>
      <c r="AD291">
        <f t="shared" si="7"/>
        <v>3325.8</v>
      </c>
      <c r="AE291">
        <f t="shared" si="7"/>
        <v>3383.3</v>
      </c>
      <c r="AF291">
        <f t="shared" si="7"/>
        <v>3440.5</v>
      </c>
      <c r="AG291">
        <f t="shared" si="7"/>
        <v>3497.6</v>
      </c>
      <c r="AH291">
        <f t="shared" si="7"/>
        <v>3554.7</v>
      </c>
      <c r="AI291">
        <f t="shared" si="7"/>
        <v>3612</v>
      </c>
      <c r="AJ291">
        <f t="shared" si="7"/>
        <v>3669.5</v>
      </c>
      <c r="AK291">
        <f t="shared" si="7"/>
        <v>3727.25</v>
      </c>
      <c r="AL291">
        <f t="shared" si="7"/>
        <v>3785</v>
      </c>
      <c r="AS291">
        <v>625</v>
      </c>
    </row>
    <row r="292" spans="1:45" x14ac:dyDescent="0.3">
      <c r="A292">
        <f>+A275</f>
        <v>4500</v>
      </c>
      <c r="B292">
        <f t="shared" ref="B292:AL292" si="8">+B275</f>
        <v>257.41000000000003</v>
      </c>
      <c r="C292" t="str">
        <f t="shared" si="8"/>
        <v>H</v>
      </c>
      <c r="D292">
        <f t="shared" si="8"/>
        <v>1122.0999999999999</v>
      </c>
      <c r="E292">
        <f t="shared" si="8"/>
        <v>2797.7</v>
      </c>
      <c r="F292" t="str">
        <f t="shared" si="8"/>
        <v>.......</v>
      </c>
      <c r="G292" t="str">
        <f t="shared" si="8"/>
        <v>.......</v>
      </c>
      <c r="H292" t="str">
        <f t="shared" si="8"/>
        <v>.......</v>
      </c>
      <c r="I292" t="str">
        <f t="shared" si="8"/>
        <v>.......</v>
      </c>
      <c r="J292" t="str">
        <f t="shared" si="8"/>
        <v>.......</v>
      </c>
      <c r="K292" t="str">
        <f t="shared" si="8"/>
        <v>.......</v>
      </c>
      <c r="L292" t="str">
        <f t="shared" si="8"/>
        <v>.......</v>
      </c>
      <c r="M292" t="str">
        <f t="shared" si="8"/>
        <v>.......</v>
      </c>
      <c r="N292" t="str">
        <f t="shared" si="8"/>
        <v>.......</v>
      </c>
      <c r="O292" t="str">
        <f t="shared" si="8"/>
        <v>.......</v>
      </c>
      <c r="P292">
        <f t="shared" si="8"/>
        <v>2807.9</v>
      </c>
      <c r="Q292">
        <f t="shared" si="8"/>
        <v>2863</v>
      </c>
      <c r="R292">
        <f t="shared" si="8"/>
        <v>2879.24</v>
      </c>
      <c r="S292">
        <f t="shared" si="8"/>
        <v>2911.72</v>
      </c>
      <c r="T292">
        <f t="shared" si="8"/>
        <v>2944.2</v>
      </c>
      <c r="U292">
        <f t="shared" si="8"/>
        <v>3002.12</v>
      </c>
      <c r="V292">
        <f t="shared" si="8"/>
        <v>3016.6</v>
      </c>
      <c r="W292">
        <f t="shared" si="8"/>
        <v>3056.62</v>
      </c>
      <c r="X292">
        <f t="shared" si="8"/>
        <v>3083.3</v>
      </c>
      <c r="Y292">
        <f t="shared" si="8"/>
        <v>3108.54</v>
      </c>
      <c r="Z292">
        <f t="shared" si="8"/>
        <v>3146.4</v>
      </c>
      <c r="AA292">
        <f t="shared" si="8"/>
        <v>3158.54</v>
      </c>
      <c r="AB292">
        <f t="shared" si="8"/>
        <v>3207.1</v>
      </c>
      <c r="AC292">
        <f t="shared" si="8"/>
        <v>3266.2</v>
      </c>
      <c r="AD292">
        <f t="shared" si="8"/>
        <v>3324.4</v>
      </c>
      <c r="AE292">
        <f t="shared" si="8"/>
        <v>3382</v>
      </c>
      <c r="AF292">
        <f t="shared" si="8"/>
        <v>3439.3</v>
      </c>
      <c r="AG292">
        <f t="shared" si="8"/>
        <v>3496.6</v>
      </c>
      <c r="AH292">
        <f t="shared" si="8"/>
        <v>3553.8</v>
      </c>
      <c r="AI292">
        <f t="shared" si="8"/>
        <v>3611.1</v>
      </c>
      <c r="AJ292">
        <f t="shared" si="8"/>
        <v>3668.6</v>
      </c>
      <c r="AK292">
        <f t="shared" si="8"/>
        <v>3726.45</v>
      </c>
      <c r="AL292">
        <f t="shared" si="8"/>
        <v>3784.3</v>
      </c>
      <c r="AS292">
        <v>675</v>
      </c>
    </row>
    <row r="293" spans="1:45" x14ac:dyDescent="0.3">
      <c r="A293">
        <f>+A272</f>
        <v>4400</v>
      </c>
      <c r="B293">
        <f t="shared" ref="B293:AL293" si="9">+B272</f>
        <v>256.05</v>
      </c>
      <c r="C293" t="str">
        <f t="shared" si="9"/>
        <v>S</v>
      </c>
      <c r="D293">
        <f t="shared" si="9"/>
        <v>2.8487</v>
      </c>
      <c r="E293">
        <f t="shared" si="9"/>
        <v>6.0286</v>
      </c>
      <c r="F293" t="str">
        <f t="shared" si="9"/>
        <v>.......</v>
      </c>
      <c r="G293" t="str">
        <f t="shared" si="9"/>
        <v>.......</v>
      </c>
      <c r="H293" t="str">
        <f t="shared" si="9"/>
        <v>.......</v>
      </c>
      <c r="I293" t="str">
        <f t="shared" si="9"/>
        <v>.......</v>
      </c>
      <c r="J293" t="str">
        <f t="shared" si="9"/>
        <v>.......</v>
      </c>
      <c r="K293" t="str">
        <f t="shared" si="9"/>
        <v>.......</v>
      </c>
      <c r="L293" t="str">
        <f t="shared" si="9"/>
        <v>.......</v>
      </c>
      <c r="M293" t="str">
        <f t="shared" si="9"/>
        <v>.......</v>
      </c>
      <c r="N293" t="str">
        <f t="shared" si="9"/>
        <v>.......</v>
      </c>
      <c r="O293" t="str">
        <f t="shared" si="9"/>
        <v>.......</v>
      </c>
      <c r="P293">
        <f t="shared" si="9"/>
        <v>6.0575000000000001</v>
      </c>
      <c r="Q293">
        <f t="shared" si="9"/>
        <v>6.1577000000000002</v>
      </c>
      <c r="R293">
        <f t="shared" si="9"/>
        <v>6.18628</v>
      </c>
      <c r="S293">
        <f t="shared" si="9"/>
        <v>6.2434399999999997</v>
      </c>
      <c r="T293">
        <f t="shared" si="9"/>
        <v>6.3006000000000002</v>
      </c>
      <c r="U293">
        <f t="shared" si="9"/>
        <v>6.3985200000000004</v>
      </c>
      <c r="V293">
        <f t="shared" si="9"/>
        <v>6.423</v>
      </c>
      <c r="W293">
        <f t="shared" si="9"/>
        <v>6.4881000000000002</v>
      </c>
      <c r="X293">
        <f t="shared" si="9"/>
        <v>6.5315000000000003</v>
      </c>
      <c r="Y293">
        <f t="shared" si="9"/>
        <v>6.5709400000000002</v>
      </c>
      <c r="Z293">
        <f t="shared" si="9"/>
        <v>6.6300999999999997</v>
      </c>
      <c r="AA293">
        <f t="shared" si="9"/>
        <v>6.6483999999999996</v>
      </c>
      <c r="AB293">
        <f t="shared" si="9"/>
        <v>6.7215999999999996</v>
      </c>
      <c r="AC293">
        <f t="shared" si="9"/>
        <v>6.8075999999999999</v>
      </c>
      <c r="AD293">
        <f t="shared" si="9"/>
        <v>6.8891999999999998</v>
      </c>
      <c r="AE293">
        <f t="shared" si="9"/>
        <v>6.9673999999999996</v>
      </c>
      <c r="AF293">
        <f t="shared" si="9"/>
        <v>7.0426000000000002</v>
      </c>
      <c r="AG293">
        <f t="shared" si="9"/>
        <v>7.1153000000000004</v>
      </c>
      <c r="AH293">
        <f t="shared" si="9"/>
        <v>7.1858000000000004</v>
      </c>
      <c r="AI293">
        <f t="shared" si="9"/>
        <v>7.2544000000000004</v>
      </c>
      <c r="AJ293">
        <f t="shared" si="9"/>
        <v>7.3211000000000004</v>
      </c>
      <c r="AK293">
        <f t="shared" si="9"/>
        <v>7.3854500000000005</v>
      </c>
      <c r="AL293">
        <f t="shared" si="9"/>
        <v>7.4497999999999998</v>
      </c>
      <c r="AS293">
        <v>725</v>
      </c>
    </row>
    <row r="294" spans="1:45" x14ac:dyDescent="0.3">
      <c r="A294">
        <f>+A276</f>
        <v>4500</v>
      </c>
      <c r="B294">
        <f t="shared" ref="B294:AL294" si="10">+B276</f>
        <v>257.41000000000003</v>
      </c>
      <c r="C294" t="str">
        <f t="shared" si="10"/>
        <v>S</v>
      </c>
      <c r="D294">
        <f t="shared" si="10"/>
        <v>2.8612000000000002</v>
      </c>
      <c r="E294">
        <f t="shared" si="10"/>
        <v>6.0190999999999999</v>
      </c>
      <c r="F294" t="str">
        <f t="shared" si="10"/>
        <v>.......</v>
      </c>
      <c r="G294" t="str">
        <f t="shared" si="10"/>
        <v>.......</v>
      </c>
      <c r="H294" t="str">
        <f t="shared" si="10"/>
        <v>.......</v>
      </c>
      <c r="I294" t="str">
        <f t="shared" si="10"/>
        <v>.......</v>
      </c>
      <c r="J294" t="str">
        <f t="shared" si="10"/>
        <v>.......</v>
      </c>
      <c r="K294" t="str">
        <f t="shared" si="10"/>
        <v>.......</v>
      </c>
      <c r="L294" t="str">
        <f t="shared" si="10"/>
        <v>.......</v>
      </c>
      <c r="M294" t="str">
        <f t="shared" si="10"/>
        <v>.......</v>
      </c>
      <c r="N294" t="str">
        <f t="shared" si="10"/>
        <v>.......</v>
      </c>
      <c r="O294" t="str">
        <f t="shared" si="10"/>
        <v>.......</v>
      </c>
      <c r="P294">
        <f t="shared" si="10"/>
        <v>6.0381999999999998</v>
      </c>
      <c r="Q294">
        <f t="shared" si="10"/>
        <v>6.1402999999999999</v>
      </c>
      <c r="R294">
        <f t="shared" si="10"/>
        <v>6.1692799999999997</v>
      </c>
      <c r="S294">
        <f t="shared" si="10"/>
        <v>6.2272400000000001</v>
      </c>
      <c r="T294">
        <f t="shared" si="10"/>
        <v>6.2851999999999997</v>
      </c>
      <c r="U294">
        <f t="shared" si="10"/>
        <v>6.38408</v>
      </c>
      <c r="V294">
        <f t="shared" si="10"/>
        <v>6.4088000000000003</v>
      </c>
      <c r="W294">
        <f t="shared" si="10"/>
        <v>6.4744400000000004</v>
      </c>
      <c r="X294">
        <f t="shared" si="10"/>
        <v>6.5182000000000002</v>
      </c>
      <c r="Y294">
        <f t="shared" si="10"/>
        <v>6.5578799999999999</v>
      </c>
      <c r="Z294">
        <f t="shared" si="10"/>
        <v>6.6173999999999999</v>
      </c>
      <c r="AA294">
        <f t="shared" si="10"/>
        <v>6.6357799999999996</v>
      </c>
      <c r="AB294">
        <f t="shared" si="10"/>
        <v>6.7092999999999998</v>
      </c>
      <c r="AC294">
        <f t="shared" si="10"/>
        <v>6.7954999999999997</v>
      </c>
      <c r="AD294">
        <f t="shared" si="10"/>
        <v>6.8773999999999997</v>
      </c>
      <c r="AE294">
        <f t="shared" si="10"/>
        <v>6.9558</v>
      </c>
      <c r="AF294">
        <f t="shared" si="10"/>
        <v>7.0311000000000003</v>
      </c>
      <c r="AG294">
        <f t="shared" si="10"/>
        <v>7.1040000000000001</v>
      </c>
      <c r="AH294">
        <f t="shared" si="10"/>
        <v>7.1745999999999999</v>
      </c>
      <c r="AI294">
        <f t="shared" si="10"/>
        <v>7.2431999999999999</v>
      </c>
      <c r="AJ294">
        <f t="shared" si="10"/>
        <v>7.31</v>
      </c>
      <c r="AK294">
        <f t="shared" si="10"/>
        <v>7.3743999999999996</v>
      </c>
      <c r="AL294">
        <f t="shared" si="10"/>
        <v>7.4387999999999996</v>
      </c>
      <c r="AS294">
        <v>750</v>
      </c>
    </row>
    <row r="295" spans="1:45" x14ac:dyDescent="0.3">
      <c r="AM295" t="s">
        <v>62</v>
      </c>
      <c r="AN295" t="s">
        <v>63</v>
      </c>
      <c r="AS295">
        <v>775</v>
      </c>
    </row>
    <row r="296" spans="1:45" x14ac:dyDescent="0.3">
      <c r="B296">
        <f>+S9</f>
        <v>257.40544217687074</v>
      </c>
      <c r="C296" t="s">
        <v>2</v>
      </c>
      <c r="D296">
        <f>+B296</f>
        <v>257.40544217687074</v>
      </c>
      <c r="E296">
        <f>+B296</f>
        <v>257.40544217687074</v>
      </c>
      <c r="F296">
        <v>75</v>
      </c>
      <c r="G296">
        <v>100</v>
      </c>
      <c r="H296">
        <v>125</v>
      </c>
      <c r="I296">
        <v>150</v>
      </c>
      <c r="J296">
        <v>175</v>
      </c>
      <c r="K296">
        <v>200</v>
      </c>
      <c r="L296">
        <v>220</v>
      </c>
      <c r="M296">
        <v>225</v>
      </c>
      <c r="N296">
        <v>240</v>
      </c>
      <c r="O296">
        <v>250</v>
      </c>
      <c r="P296">
        <v>260</v>
      </c>
      <c r="Q296">
        <v>275</v>
      </c>
      <c r="R296">
        <v>280</v>
      </c>
      <c r="S296">
        <v>290</v>
      </c>
      <c r="T296">
        <v>300</v>
      </c>
      <c r="U296">
        <v>320</v>
      </c>
      <c r="V296">
        <v>325</v>
      </c>
      <c r="W296">
        <v>340</v>
      </c>
      <c r="X296">
        <v>350</v>
      </c>
      <c r="Y296">
        <v>360</v>
      </c>
      <c r="Z296">
        <v>375</v>
      </c>
      <c r="AA296">
        <v>380</v>
      </c>
      <c r="AB296">
        <v>400</v>
      </c>
      <c r="AC296">
        <v>425</v>
      </c>
      <c r="AD296">
        <v>450</v>
      </c>
      <c r="AE296">
        <v>475</v>
      </c>
      <c r="AF296">
        <v>500</v>
      </c>
      <c r="AG296">
        <v>525</v>
      </c>
      <c r="AH296">
        <v>550</v>
      </c>
      <c r="AI296">
        <v>575</v>
      </c>
      <c r="AJ296">
        <v>600</v>
      </c>
      <c r="AK296">
        <v>625</v>
      </c>
      <c r="AL296">
        <v>650</v>
      </c>
      <c r="AM296" t="e">
        <f>+D284</f>
        <v>#N/A</v>
      </c>
      <c r="AN296" t="e">
        <f>+E284</f>
        <v>#N/A</v>
      </c>
      <c r="AS296">
        <v>800</v>
      </c>
    </row>
    <row r="297" spans="1:45" x14ac:dyDescent="0.3">
      <c r="A297">
        <f>+B262</f>
        <v>4500</v>
      </c>
      <c r="B297">
        <f>+B296</f>
        <v>257.40544217687074</v>
      </c>
      <c r="C297" t="str">
        <f>+C288</f>
        <v>V</v>
      </c>
      <c r="D297">
        <f>+S10</f>
        <v>1.2695136054421767</v>
      </c>
      <c r="E297">
        <f>+S12</f>
        <v>44.048891156462595</v>
      </c>
      <c r="F297" t="str">
        <f t="shared" ref="F297:AK297" si="11">+IFERROR(IF($B$297&gt;F286,"….....",_xlfn.FORECAST.LINEAR($A$297,F287:F288,$A$287:$A$288)),G297-(G297-$E$297)/(G286-$B$297)*(G286-F286))</f>
        <v>….....</v>
      </c>
      <c r="G297" t="str">
        <f t="shared" si="11"/>
        <v>….....</v>
      </c>
      <c r="H297" t="str">
        <f t="shared" si="11"/>
        <v>….....</v>
      </c>
      <c r="I297" t="str">
        <f t="shared" si="11"/>
        <v>….....</v>
      </c>
      <c r="J297" t="str">
        <f t="shared" si="11"/>
        <v>….....</v>
      </c>
      <c r="K297" t="str">
        <f t="shared" si="11"/>
        <v>….....</v>
      </c>
      <c r="L297" t="str">
        <f t="shared" si="11"/>
        <v>….....</v>
      </c>
      <c r="M297" t="str">
        <f t="shared" si="11"/>
        <v>….....</v>
      </c>
      <c r="N297" t="str">
        <f t="shared" si="11"/>
        <v>….....</v>
      </c>
      <c r="O297" t="str">
        <f t="shared" si="11"/>
        <v>….....</v>
      </c>
      <c r="P297">
        <f t="shared" si="11"/>
        <v>44.540000000000006</v>
      </c>
      <c r="Q297">
        <f t="shared" si="11"/>
        <v>47.273000000000003</v>
      </c>
      <c r="R297">
        <f t="shared" si="11"/>
        <v>48.085599999999999</v>
      </c>
      <c r="S297">
        <f t="shared" si="11"/>
        <v>49.710799999999999</v>
      </c>
      <c r="T297">
        <f t="shared" si="11"/>
        <v>51.335999999999999</v>
      </c>
      <c r="U297">
        <f t="shared" si="11"/>
        <v>54.264000000000003</v>
      </c>
      <c r="V297">
        <f t="shared" si="11"/>
        <v>54.995999999999995</v>
      </c>
      <c r="W297">
        <f t="shared" si="11"/>
        <v>57.036000000000001</v>
      </c>
      <c r="X297">
        <f t="shared" si="11"/>
        <v>58.396000000000001</v>
      </c>
      <c r="Y297">
        <f t="shared" si="11"/>
        <v>59.685600000000008</v>
      </c>
      <c r="Z297">
        <f t="shared" si="11"/>
        <v>61.620000000000005</v>
      </c>
      <c r="AA297">
        <f t="shared" si="11"/>
        <v>62.240199999999987</v>
      </c>
      <c r="AB297">
        <f t="shared" si="11"/>
        <v>64.721000000000018</v>
      </c>
      <c r="AC297">
        <f t="shared" si="11"/>
        <v>67.731999999999999</v>
      </c>
      <c r="AD297">
        <f t="shared" si="11"/>
        <v>70.677000000000021</v>
      </c>
      <c r="AE297">
        <f t="shared" si="11"/>
        <v>73.572000000000017</v>
      </c>
      <c r="AF297">
        <f t="shared" si="11"/>
        <v>76.426999999999992</v>
      </c>
      <c r="AG297">
        <f t="shared" si="11"/>
        <v>79.249000000000009</v>
      </c>
      <c r="AH297">
        <f t="shared" si="11"/>
        <v>82.044000000000011</v>
      </c>
      <c r="AI297">
        <f t="shared" si="11"/>
        <v>84.816999999999979</v>
      </c>
      <c r="AJ297">
        <f t="shared" si="11"/>
        <v>87.570000000000007</v>
      </c>
      <c r="AK297">
        <f t="shared" si="11"/>
        <v>90.297500000000014</v>
      </c>
      <c r="AL297">
        <f>+IFERROR(IF($B$297&gt;AL286,"….....",_xlfn.FORECAST.LINEAR($A$297,AL287:AL288,$A$287:$A$288)),AM289-(AM289-$E$297)/(AM286-$B$297)*(AM286-AL286))</f>
        <v>93.02500000000002</v>
      </c>
      <c r="AM297" t="e">
        <f>+HLOOKUP(AM$296,$E$296:$AL$300,2,0)</f>
        <v>#N/A</v>
      </c>
      <c r="AN297" t="e">
        <f>+HLOOKUP(AN$296,$E$296:$AL$300,2,0)</f>
        <v>#N/A</v>
      </c>
      <c r="AS297">
        <v>825</v>
      </c>
    </row>
    <row r="298" spans="1:45" x14ac:dyDescent="0.3">
      <c r="A298">
        <f>A297</f>
        <v>4500</v>
      </c>
      <c r="B298">
        <f>+B297</f>
        <v>257.40544217687074</v>
      </c>
      <c r="C298" t="str">
        <f>+C290</f>
        <v>U</v>
      </c>
      <c r="D298">
        <f>+S13</f>
        <v>1116.416394557823</v>
      </c>
      <c r="E298">
        <f>+S15</f>
        <v>2599.5080952380954</v>
      </c>
      <c r="F298" t="str">
        <f t="shared" ref="F298:AK298" si="12">+IFERROR(IF($B$298&gt;F286,"….....",_xlfn.FORECAST.LINEAR($A$298,F289:F290,$A$289:$A$290)),G298-(G298-$E$298)/(G290-$B$298)*(G290-F286))</f>
        <v>….....</v>
      </c>
      <c r="G298" t="str">
        <f t="shared" si="12"/>
        <v>….....</v>
      </c>
      <c r="H298" t="str">
        <f t="shared" si="12"/>
        <v>….....</v>
      </c>
      <c r="I298" t="str">
        <f t="shared" si="12"/>
        <v>….....</v>
      </c>
      <c r="J298" t="str">
        <f t="shared" si="12"/>
        <v>….....</v>
      </c>
      <c r="K298" t="str">
        <f t="shared" si="12"/>
        <v>….....</v>
      </c>
      <c r="L298" t="str">
        <f t="shared" si="12"/>
        <v>….....</v>
      </c>
      <c r="M298" t="str">
        <f t="shared" si="12"/>
        <v>….....</v>
      </c>
      <c r="N298" t="str">
        <f t="shared" si="12"/>
        <v>….....</v>
      </c>
      <c r="O298" t="str">
        <f t="shared" si="12"/>
        <v>….....</v>
      </c>
      <c r="P298">
        <f t="shared" si="12"/>
        <v>2607.4</v>
      </c>
      <c r="Q298">
        <f t="shared" si="12"/>
        <v>2650.3000000000006</v>
      </c>
      <c r="R298">
        <f t="shared" si="12"/>
        <v>2662.8800000000006</v>
      </c>
      <c r="S298">
        <f t="shared" si="12"/>
        <v>2688.04</v>
      </c>
      <c r="T298">
        <f t="shared" si="12"/>
        <v>2713.2</v>
      </c>
      <c r="U298">
        <f t="shared" si="12"/>
        <v>2757.9199999999996</v>
      </c>
      <c r="V298">
        <f t="shared" si="12"/>
        <v>2769.1</v>
      </c>
      <c r="W298">
        <f t="shared" si="12"/>
        <v>2799.94</v>
      </c>
      <c r="X298">
        <f t="shared" si="12"/>
        <v>2820.5</v>
      </c>
      <c r="Y298">
        <f t="shared" si="12"/>
        <v>2839.94</v>
      </c>
      <c r="Z298">
        <f t="shared" si="12"/>
        <v>2869.1</v>
      </c>
      <c r="AA298">
        <f t="shared" si="12"/>
        <v>2878.44</v>
      </c>
      <c r="AB298">
        <f t="shared" si="12"/>
        <v>2915.7999999999997</v>
      </c>
      <c r="AC298">
        <f t="shared" si="12"/>
        <v>2961.4</v>
      </c>
      <c r="AD298">
        <f t="shared" si="12"/>
        <v>3006.3000000000006</v>
      </c>
      <c r="AE298">
        <f t="shared" si="12"/>
        <v>3050.9</v>
      </c>
      <c r="AF298">
        <f t="shared" si="12"/>
        <v>3095.4</v>
      </c>
      <c r="AG298">
        <f t="shared" si="12"/>
        <v>3139.9</v>
      </c>
      <c r="AH298">
        <f t="shared" si="12"/>
        <v>3184.6</v>
      </c>
      <c r="AI298">
        <f t="shared" si="12"/>
        <v>3229.5000000000005</v>
      </c>
      <c r="AJ298">
        <f t="shared" si="12"/>
        <v>3274.6</v>
      </c>
      <c r="AK298">
        <f t="shared" si="12"/>
        <v>3320.1499999999996</v>
      </c>
      <c r="AL298">
        <f>+IFERROR(IF($B$298&gt;AL286,"….....",_xlfn.FORECAST.LINEAR($A$298,AL289:AL290,$A$289:$A$290)),AM302-(AM302-$E$298)/(AM290-$B$298)*(AM290-AL286))</f>
        <v>3365.7</v>
      </c>
      <c r="AM298" t="e">
        <f>+HLOOKUP(AM$296,$E$296:$AL$300,3,0)</f>
        <v>#N/A</v>
      </c>
      <c r="AN298" t="e">
        <f>+HLOOKUP(AN$296,$E$296:$AL$300,3,0)</f>
        <v>#N/A</v>
      </c>
      <c r="AS298">
        <v>850</v>
      </c>
    </row>
    <row r="299" spans="1:45" x14ac:dyDescent="0.3">
      <c r="A299">
        <f>A298</f>
        <v>4500</v>
      </c>
      <c r="B299">
        <f>+B298</f>
        <v>257.40544217687074</v>
      </c>
      <c r="C299" t="str">
        <f>+C292</f>
        <v>H</v>
      </c>
      <c r="D299">
        <f>+S16</f>
        <v>1122.0866666666666</v>
      </c>
      <c r="E299">
        <f>+S18</f>
        <v>2797.6675510204086</v>
      </c>
      <c r="F299" t="str">
        <f>+IFERROR(IF($B$298&gt;F286,"….....",_xlfn.FORECAST.LINEAR($A$298,F291:F292,$A$291:$A$292)),G299-(G299-$E$298)/(G292-$B$298)*(G292-F286))</f>
        <v>….....</v>
      </c>
      <c r="G299" t="str">
        <f>+IFERROR(IF($B$298&gt;G286,"….....",_xlfn.FORECAST.LINEAR($A$298,G291:G292,$A$291:$A$292)),H299-(H299-$E$298)/(H292-$B$298)*(H292-G286))</f>
        <v>….....</v>
      </c>
      <c r="H299" t="str">
        <f>+IFERROR(IF($B$298&gt;H286,"….....",_xlfn.FORECAST.LINEAR($A$298,H291:H292,$A$291:$A$292)),I299-(I299-$E$298)/(I292-$B$298)*(I292-H286))</f>
        <v>….....</v>
      </c>
      <c r="I299" t="str">
        <f t="shared" ref="I299:AK299" si="13">+IFERROR(IF($B$299&gt;I286,"….....",_xlfn.FORECAST.LINEAR($A$299,I291:I292,$A$291:$A$292)),J299-(J299-$E$299)/(J292-$B$299)*(J292-I286))</f>
        <v>….....</v>
      </c>
      <c r="J299" t="str">
        <f t="shared" si="13"/>
        <v>….....</v>
      </c>
      <c r="K299" t="str">
        <f t="shared" si="13"/>
        <v>….....</v>
      </c>
      <c r="L299" t="str">
        <f t="shared" si="13"/>
        <v>….....</v>
      </c>
      <c r="M299" t="str">
        <f t="shared" si="13"/>
        <v>….....</v>
      </c>
      <c r="N299" t="str">
        <f t="shared" si="13"/>
        <v>….....</v>
      </c>
      <c r="O299" t="str">
        <f t="shared" si="13"/>
        <v>….....</v>
      </c>
      <c r="P299">
        <f t="shared" si="13"/>
        <v>2807.9</v>
      </c>
      <c r="Q299">
        <f t="shared" si="13"/>
        <v>2863</v>
      </c>
      <c r="R299">
        <f t="shared" si="13"/>
        <v>2879.24</v>
      </c>
      <c r="S299">
        <f t="shared" si="13"/>
        <v>2911.72</v>
      </c>
      <c r="T299">
        <f t="shared" si="13"/>
        <v>2944.2</v>
      </c>
      <c r="U299">
        <f t="shared" si="13"/>
        <v>3002.12</v>
      </c>
      <c r="V299">
        <f t="shared" si="13"/>
        <v>3016.6</v>
      </c>
      <c r="W299">
        <f t="shared" si="13"/>
        <v>3056.6200000000003</v>
      </c>
      <c r="X299">
        <f t="shared" si="13"/>
        <v>3083.3</v>
      </c>
      <c r="Y299">
        <f t="shared" si="13"/>
        <v>3108.54</v>
      </c>
      <c r="Z299">
        <f t="shared" si="13"/>
        <v>3146.4</v>
      </c>
      <c r="AA299">
        <f t="shared" si="13"/>
        <v>3158.5400000000004</v>
      </c>
      <c r="AB299">
        <f t="shared" si="13"/>
        <v>3207.1</v>
      </c>
      <c r="AC299">
        <f t="shared" si="13"/>
        <v>3266.2</v>
      </c>
      <c r="AD299">
        <f t="shared" si="13"/>
        <v>3324.4</v>
      </c>
      <c r="AE299">
        <f t="shared" si="13"/>
        <v>3382</v>
      </c>
      <c r="AF299">
        <f t="shared" si="13"/>
        <v>3439.3</v>
      </c>
      <c r="AG299">
        <f t="shared" si="13"/>
        <v>3496.6</v>
      </c>
      <c r="AH299">
        <f t="shared" si="13"/>
        <v>3553.8</v>
      </c>
      <c r="AI299">
        <f t="shared" si="13"/>
        <v>3611.1</v>
      </c>
      <c r="AJ299">
        <f t="shared" si="13"/>
        <v>3668.6</v>
      </c>
      <c r="AK299">
        <f t="shared" si="13"/>
        <v>3726.45</v>
      </c>
      <c r="AL299">
        <f>+IFERROR(IF($B$299&gt;AL286,"….....",_xlfn.FORECAST.LINEAR($A$299,AL291:AL292,$A$291:$A$292)),AM303-(AM303-$E$299)/(AM292-$B$299)*(AM292-AL286))</f>
        <v>3784.3</v>
      </c>
      <c r="AM299" t="e">
        <f>+HLOOKUP(AM$296,$E$296:$AL$300,4,0)</f>
        <v>#N/A</v>
      </c>
      <c r="AN299" t="e">
        <f>+HLOOKUP(AN$296,$E$296:$AL$300,4,0)</f>
        <v>#N/A</v>
      </c>
      <c r="AS299">
        <v>875</v>
      </c>
    </row>
    <row r="300" spans="1:45" x14ac:dyDescent="0.3">
      <c r="A300">
        <f>A299</f>
        <v>4500</v>
      </c>
      <c r="B300">
        <f>+B299</f>
        <v>257.40544217687074</v>
      </c>
      <c r="C300" t="str">
        <f>+C294</f>
        <v>S</v>
      </c>
      <c r="D300">
        <f>+S19</f>
        <v>2.8611597959183674</v>
      </c>
      <c r="E300">
        <f>+S21</f>
        <v>6.0191619047619049</v>
      </c>
      <c r="F300" t="str">
        <f>+IFERROR(IF($B$298&gt;F286,"….....",_xlfn.FORECAST.LINEAR($A$298,F293:F294,$A$291:$A$292)),G300-(G300-$E$298)/(G294-$B$298)*(G294-F286))</f>
        <v>….....</v>
      </c>
      <c r="G300" t="str">
        <f>+IFERROR(IF($B$298&gt;G286,"….....",_xlfn.FORECAST.LINEAR($A$298,G293:G294,$A$291:$A$292)),H300-(H300-$E$298)/(H294-$B$298)*(H294-G286))</f>
        <v>….....</v>
      </c>
      <c r="H300" t="str">
        <f>+IFERROR(IF($B$298&gt;H286,"….....",_xlfn.FORECAST.LINEAR($A$298,H293:H294,$A$291:$A$292)),I300-(I300-$E$298)/(I294-$B$298)*(I294-H286))</f>
        <v>….....</v>
      </c>
      <c r="I300" t="str">
        <f t="shared" ref="I300:AK300" si="14">+IFERROR(IF($B$300&gt;I286,"….....",_xlfn.FORECAST.LINEAR($A$300,I293:I294,$A$291:$A$292)),J300-(J300-$E$300)/(J294-$B$300)*(J294-I286))</f>
        <v>….....</v>
      </c>
      <c r="J300" t="str">
        <f t="shared" si="14"/>
        <v>….....</v>
      </c>
      <c r="K300" t="str">
        <f t="shared" si="14"/>
        <v>….....</v>
      </c>
      <c r="L300" t="str">
        <f t="shared" si="14"/>
        <v>….....</v>
      </c>
      <c r="M300" t="str">
        <f t="shared" si="14"/>
        <v>….....</v>
      </c>
      <c r="N300" t="str">
        <f t="shared" si="14"/>
        <v>….....</v>
      </c>
      <c r="O300" t="str">
        <f t="shared" si="14"/>
        <v>….....</v>
      </c>
      <c r="P300">
        <f t="shared" si="14"/>
        <v>6.0382000000000007</v>
      </c>
      <c r="Q300">
        <f t="shared" si="14"/>
        <v>6.1402999999999999</v>
      </c>
      <c r="R300">
        <f t="shared" si="14"/>
        <v>6.1692799999999997</v>
      </c>
      <c r="S300">
        <f t="shared" si="14"/>
        <v>6.2272400000000001</v>
      </c>
      <c r="T300">
        <f t="shared" si="14"/>
        <v>6.2851999999999988</v>
      </c>
      <c r="U300">
        <f t="shared" si="14"/>
        <v>6.38408</v>
      </c>
      <c r="V300">
        <f t="shared" si="14"/>
        <v>6.4088000000000003</v>
      </c>
      <c r="W300">
        <f t="shared" si="14"/>
        <v>6.4744400000000004</v>
      </c>
      <c r="X300">
        <f t="shared" si="14"/>
        <v>6.5182000000000011</v>
      </c>
      <c r="Y300">
        <f t="shared" si="14"/>
        <v>6.5578799999999999</v>
      </c>
      <c r="Z300">
        <f t="shared" si="14"/>
        <v>6.6173999999999991</v>
      </c>
      <c r="AA300">
        <f t="shared" si="14"/>
        <v>6.6357799999999996</v>
      </c>
      <c r="AB300">
        <f t="shared" si="14"/>
        <v>6.7092999999999998</v>
      </c>
      <c r="AC300">
        <f t="shared" si="14"/>
        <v>6.7954999999999997</v>
      </c>
      <c r="AD300">
        <f t="shared" si="14"/>
        <v>6.8774000000000006</v>
      </c>
      <c r="AE300">
        <f t="shared" si="14"/>
        <v>6.9558</v>
      </c>
      <c r="AF300">
        <f t="shared" si="14"/>
        <v>7.0311000000000003</v>
      </c>
      <c r="AG300">
        <f t="shared" si="14"/>
        <v>7.1040000000000001</v>
      </c>
      <c r="AH300">
        <f t="shared" si="14"/>
        <v>7.1745999999999999</v>
      </c>
      <c r="AI300">
        <f t="shared" si="14"/>
        <v>7.2431999999999999</v>
      </c>
      <c r="AJ300">
        <f t="shared" si="14"/>
        <v>7.31</v>
      </c>
      <c r="AK300">
        <f t="shared" si="14"/>
        <v>7.3743999999999996</v>
      </c>
      <c r="AL300">
        <f>+IFERROR(IF($B$300&gt;AL286,"….....",_xlfn.FORECAST.LINEAR($A$300,AL293:AL294,$A$291:$A$292)),AM304-(AM304-$E$300)/(AM294-$B$300)*(AM294-AL286))</f>
        <v>7.4387999999999996</v>
      </c>
      <c r="AM300" t="e">
        <f>+HLOOKUP(AM$296,$E$296:$AL$300,5,0)</f>
        <v>#N/A</v>
      </c>
      <c r="AN300" t="e">
        <f>+HLOOKUP(AN$296,$E$296:$AL$300,5,0)</f>
        <v>#N/A</v>
      </c>
      <c r="AS300">
        <v>900</v>
      </c>
    </row>
    <row r="301" spans="1:45" x14ac:dyDescent="0.3">
      <c r="AS301">
        <v>925</v>
      </c>
    </row>
    <row r="302" spans="1:45" x14ac:dyDescent="0.3">
      <c r="AS302">
        <v>950</v>
      </c>
    </row>
    <row r="303" spans="1:45" x14ac:dyDescent="0.3">
      <c r="A303" t="s">
        <v>22</v>
      </c>
      <c r="B303" t="s">
        <v>23</v>
      </c>
      <c r="C303" t="s">
        <v>50</v>
      </c>
      <c r="D303" t="s">
        <v>49</v>
      </c>
      <c r="E303" t="s">
        <v>48</v>
      </c>
      <c r="F303">
        <v>75</v>
      </c>
      <c r="G303">
        <v>100</v>
      </c>
      <c r="H303">
        <v>125</v>
      </c>
      <c r="I303">
        <v>150</v>
      </c>
      <c r="J303">
        <v>175</v>
      </c>
      <c r="K303">
        <v>200</v>
      </c>
      <c r="L303">
        <v>220</v>
      </c>
      <c r="M303">
        <v>225</v>
      </c>
      <c r="N303">
        <v>240</v>
      </c>
      <c r="O303">
        <v>250</v>
      </c>
      <c r="P303">
        <v>260</v>
      </c>
      <c r="Q303">
        <v>275</v>
      </c>
      <c r="R303">
        <v>280</v>
      </c>
      <c r="S303">
        <v>290</v>
      </c>
      <c r="T303">
        <v>300</v>
      </c>
      <c r="U303">
        <v>320</v>
      </c>
      <c r="V303">
        <v>325</v>
      </c>
      <c r="W303">
        <v>340</v>
      </c>
      <c r="X303">
        <v>350</v>
      </c>
      <c r="Y303">
        <v>360</v>
      </c>
      <c r="Z303">
        <v>375</v>
      </c>
      <c r="AA303">
        <v>380</v>
      </c>
      <c r="AB303">
        <v>400</v>
      </c>
      <c r="AC303">
        <v>425</v>
      </c>
      <c r="AD303">
        <v>450</v>
      </c>
      <c r="AE303">
        <v>475</v>
      </c>
      <c r="AF303">
        <v>500</v>
      </c>
      <c r="AG303">
        <v>525</v>
      </c>
      <c r="AH303">
        <v>550</v>
      </c>
      <c r="AI303">
        <v>575</v>
      </c>
      <c r="AJ303">
        <v>600</v>
      </c>
      <c r="AK303">
        <v>625</v>
      </c>
      <c r="AL303">
        <v>650</v>
      </c>
      <c r="AS303">
        <v>975</v>
      </c>
    </row>
    <row r="304" spans="1:45" x14ac:dyDescent="0.3">
      <c r="A304">
        <v>1</v>
      </c>
      <c r="B304">
        <v>6.98</v>
      </c>
      <c r="C304" t="s">
        <v>0</v>
      </c>
      <c r="D304">
        <v>1</v>
      </c>
      <c r="E304">
        <v>129200</v>
      </c>
      <c r="F304">
        <v>160640</v>
      </c>
      <c r="G304">
        <v>172180</v>
      </c>
      <c r="H304">
        <v>183720</v>
      </c>
      <c r="I304">
        <v>195270</v>
      </c>
      <c r="J304">
        <v>206810</v>
      </c>
      <c r="K304">
        <v>218350</v>
      </c>
      <c r="L304">
        <v>227582</v>
      </c>
      <c r="M304">
        <v>229890</v>
      </c>
      <c r="N304">
        <v>236814</v>
      </c>
      <c r="O304">
        <v>241430</v>
      </c>
      <c r="P304">
        <v>246044</v>
      </c>
      <c r="Q304">
        <v>252965</v>
      </c>
      <c r="R304">
        <v>255272</v>
      </c>
      <c r="S304">
        <v>259886</v>
      </c>
      <c r="T304">
        <v>264500</v>
      </c>
      <c r="U304">
        <v>273732</v>
      </c>
      <c r="V304">
        <v>276040</v>
      </c>
      <c r="W304">
        <v>282964</v>
      </c>
      <c r="X304">
        <v>287580</v>
      </c>
      <c r="Y304">
        <v>292196</v>
      </c>
      <c r="Z304">
        <v>299120</v>
      </c>
      <c r="AA304">
        <v>301428</v>
      </c>
      <c r="AB304">
        <v>310660</v>
      </c>
      <c r="AC304">
        <v>322195</v>
      </c>
      <c r="AD304">
        <v>333730</v>
      </c>
      <c r="AE304">
        <v>345270</v>
      </c>
      <c r="AF304">
        <v>356810</v>
      </c>
      <c r="AG304">
        <v>368345</v>
      </c>
      <c r="AH304">
        <v>379880</v>
      </c>
      <c r="AI304">
        <v>391420</v>
      </c>
      <c r="AJ304">
        <v>402960</v>
      </c>
      <c r="AK304">
        <v>414500</v>
      </c>
      <c r="AL304">
        <v>426040</v>
      </c>
      <c r="AS304">
        <v>1000</v>
      </c>
    </row>
    <row r="305" spans="1:45" x14ac:dyDescent="0.3">
      <c r="A305">
        <v>1</v>
      </c>
      <c r="B305">
        <v>6.98</v>
      </c>
      <c r="C305" t="s">
        <v>18</v>
      </c>
      <c r="D305">
        <v>29.334</v>
      </c>
      <c r="E305">
        <v>2385.1999999999998</v>
      </c>
      <c r="F305">
        <v>2480.8000000000002</v>
      </c>
      <c r="G305">
        <v>2516.4</v>
      </c>
      <c r="H305">
        <v>2552.3000000000002</v>
      </c>
      <c r="I305">
        <v>2588.5</v>
      </c>
      <c r="J305">
        <v>2624.9</v>
      </c>
      <c r="K305">
        <v>2661.7</v>
      </c>
      <c r="L305">
        <v>2691.38</v>
      </c>
      <c r="M305">
        <v>2698.8</v>
      </c>
      <c r="N305">
        <v>2721.3</v>
      </c>
      <c r="O305">
        <v>2736.3</v>
      </c>
      <c r="P305">
        <v>2751.5</v>
      </c>
      <c r="Q305">
        <v>2774.3</v>
      </c>
      <c r="R305">
        <v>2781.9</v>
      </c>
      <c r="S305">
        <v>2797.1000000000004</v>
      </c>
      <c r="T305">
        <v>2812.3</v>
      </c>
      <c r="U305">
        <v>2843.34</v>
      </c>
      <c r="V305">
        <v>2851.1000000000004</v>
      </c>
      <c r="W305">
        <v>2874.38</v>
      </c>
      <c r="X305">
        <v>2889.9</v>
      </c>
      <c r="Y305">
        <v>2905.7400000000002</v>
      </c>
      <c r="Z305">
        <v>2929.5</v>
      </c>
      <c r="AA305">
        <v>2937.42</v>
      </c>
      <c r="AB305">
        <v>2969.1</v>
      </c>
      <c r="AC305">
        <v>3009.5</v>
      </c>
      <c r="AD305">
        <v>3049.9</v>
      </c>
      <c r="AE305">
        <v>3091.15</v>
      </c>
      <c r="AF305">
        <v>3132.4</v>
      </c>
      <c r="AG305">
        <v>3174.55</v>
      </c>
      <c r="AH305">
        <v>3216.7</v>
      </c>
      <c r="AI305">
        <v>3259.6499999999996</v>
      </c>
      <c r="AJ305">
        <v>3302.6</v>
      </c>
      <c r="AK305">
        <v>3346.45</v>
      </c>
      <c r="AL305">
        <v>3390.3</v>
      </c>
      <c r="AS305">
        <v>1050</v>
      </c>
    </row>
    <row r="306" spans="1:45" x14ac:dyDescent="0.3">
      <c r="A306">
        <v>1</v>
      </c>
      <c r="B306">
        <v>6.98</v>
      </c>
      <c r="C306" t="s">
        <v>19</v>
      </c>
      <c r="D306">
        <v>29.335000000000001</v>
      </c>
      <c r="E306">
        <v>2514.4</v>
      </c>
      <c r="F306">
        <v>2641.5</v>
      </c>
      <c r="G306">
        <v>2688.6</v>
      </c>
      <c r="H306">
        <v>2736</v>
      </c>
      <c r="I306">
        <v>2783.7</v>
      </c>
      <c r="J306">
        <v>2831.7</v>
      </c>
      <c r="K306">
        <v>2880.1</v>
      </c>
      <c r="L306">
        <v>2918.98</v>
      </c>
      <c r="M306">
        <v>2928.7</v>
      </c>
      <c r="N306">
        <v>2958.1</v>
      </c>
      <c r="O306">
        <v>2977.7</v>
      </c>
      <c r="P306">
        <v>2997.52</v>
      </c>
      <c r="Q306">
        <v>3027.25</v>
      </c>
      <c r="R306">
        <v>3037.16</v>
      </c>
      <c r="S306">
        <v>3056.98</v>
      </c>
      <c r="T306">
        <v>3076.8</v>
      </c>
      <c r="U306">
        <v>3117.08</v>
      </c>
      <c r="V306">
        <v>3127.15</v>
      </c>
      <c r="W306">
        <v>3157.36</v>
      </c>
      <c r="X306">
        <v>3177.5</v>
      </c>
      <c r="Y306">
        <v>3197.94</v>
      </c>
      <c r="Z306">
        <v>3228.6</v>
      </c>
      <c r="AA306">
        <v>3238.8199999999997</v>
      </c>
      <c r="AB306">
        <v>3279.7</v>
      </c>
      <c r="AC306">
        <v>3331.6499999999996</v>
      </c>
      <c r="AD306">
        <v>3383.6</v>
      </c>
      <c r="AE306">
        <v>3436.3999999999996</v>
      </c>
      <c r="AF306">
        <v>3489.2</v>
      </c>
      <c r="AG306">
        <v>3542.85</v>
      </c>
      <c r="AH306">
        <v>3596.5</v>
      </c>
      <c r="AI306">
        <v>3650.9</v>
      </c>
      <c r="AJ306">
        <v>3705.3</v>
      </c>
      <c r="AK306">
        <v>3760.8500000000004</v>
      </c>
      <c r="AL306">
        <v>3816.4</v>
      </c>
      <c r="AS306">
        <v>1100</v>
      </c>
    </row>
    <row r="307" spans="1:45" x14ac:dyDescent="0.3">
      <c r="A307">
        <v>1</v>
      </c>
      <c r="B307">
        <v>6.98</v>
      </c>
      <c r="C307" t="s">
        <v>20</v>
      </c>
      <c r="D307">
        <v>0.106</v>
      </c>
      <c r="E307">
        <v>8.9766999999999992</v>
      </c>
      <c r="F307">
        <v>9.3827999999999996</v>
      </c>
      <c r="G307">
        <v>9.5136000000000003</v>
      </c>
      <c r="H307">
        <v>9.6364999999999998</v>
      </c>
      <c r="I307">
        <v>9.7527000000000008</v>
      </c>
      <c r="J307">
        <v>9.8628999999999998</v>
      </c>
      <c r="K307">
        <v>9.9679000000000002</v>
      </c>
      <c r="L307">
        <v>10.04806</v>
      </c>
      <c r="M307">
        <v>10.068099999999999</v>
      </c>
      <c r="N307">
        <v>10.1257</v>
      </c>
      <c r="O307">
        <v>10.164099999999999</v>
      </c>
      <c r="P307">
        <v>10.200279999999999</v>
      </c>
      <c r="Q307">
        <v>10.25455</v>
      </c>
      <c r="R307">
        <v>10.272640000000001</v>
      </c>
      <c r="S307">
        <v>10.308820000000001</v>
      </c>
      <c r="T307">
        <v>10.345000000000001</v>
      </c>
      <c r="U307">
        <v>10.412319999999999</v>
      </c>
      <c r="V307">
        <v>10.42915</v>
      </c>
      <c r="W307">
        <v>10.47964</v>
      </c>
      <c r="X307">
        <v>10.513299999999999</v>
      </c>
      <c r="Y307">
        <v>10.54486</v>
      </c>
      <c r="Z307">
        <v>10.5922</v>
      </c>
      <c r="AA307">
        <v>10.60798</v>
      </c>
      <c r="AB307">
        <v>10.671099999999999</v>
      </c>
      <c r="AC307">
        <v>10.74555</v>
      </c>
      <c r="AD307">
        <v>10.82</v>
      </c>
      <c r="AE307">
        <v>10.890599999999999</v>
      </c>
      <c r="AF307">
        <v>10.9612</v>
      </c>
      <c r="AG307">
        <v>11.028449999999999</v>
      </c>
      <c r="AH307">
        <v>11.095700000000001</v>
      </c>
      <c r="AI307">
        <v>11.16</v>
      </c>
      <c r="AJ307">
        <v>11.224299999999999</v>
      </c>
      <c r="AK307">
        <v>11.28595</v>
      </c>
      <c r="AL307">
        <v>11.3476</v>
      </c>
      <c r="AS307">
        <v>1150</v>
      </c>
    </row>
    <row r="308" spans="1:45" x14ac:dyDescent="0.3">
      <c r="A308">
        <v>10</v>
      </c>
      <c r="B308">
        <v>45.83</v>
      </c>
      <c r="C308" t="s">
        <v>0</v>
      </c>
      <c r="D308">
        <v>1.01</v>
      </c>
      <c r="E308">
        <v>14670</v>
      </c>
      <c r="F308">
        <v>16030</v>
      </c>
      <c r="G308">
        <v>17190</v>
      </c>
      <c r="H308">
        <v>18350</v>
      </c>
      <c r="I308">
        <v>19510</v>
      </c>
      <c r="J308">
        <v>20660</v>
      </c>
      <c r="K308">
        <v>21820</v>
      </c>
      <c r="L308">
        <v>22748</v>
      </c>
      <c r="M308">
        <v>22980</v>
      </c>
      <c r="N308">
        <v>23670</v>
      </c>
      <c r="O308">
        <v>24130</v>
      </c>
      <c r="P308">
        <v>24592</v>
      </c>
      <c r="Q308">
        <v>25285</v>
      </c>
      <c r="R308">
        <v>25516</v>
      </c>
      <c r="S308">
        <v>25978</v>
      </c>
      <c r="T308">
        <v>26440</v>
      </c>
      <c r="U308">
        <v>27364</v>
      </c>
      <c r="V308">
        <v>27595</v>
      </c>
      <c r="W308">
        <v>28288</v>
      </c>
      <c r="X308">
        <v>28750</v>
      </c>
      <c r="Y308">
        <v>29212</v>
      </c>
      <c r="Z308">
        <v>29905</v>
      </c>
      <c r="AA308">
        <v>30136</v>
      </c>
      <c r="AB308">
        <v>31060</v>
      </c>
      <c r="AC308">
        <v>32215</v>
      </c>
      <c r="AD308">
        <v>33370</v>
      </c>
      <c r="AE308">
        <v>34520</v>
      </c>
      <c r="AF308">
        <v>35670</v>
      </c>
      <c r="AG308">
        <v>36825</v>
      </c>
      <c r="AH308">
        <v>37980</v>
      </c>
      <c r="AI308">
        <v>39135</v>
      </c>
      <c r="AJ308">
        <v>40290</v>
      </c>
      <c r="AK308">
        <v>41445</v>
      </c>
      <c r="AL308">
        <v>42600</v>
      </c>
      <c r="AS308">
        <v>1200</v>
      </c>
    </row>
    <row r="309" spans="1:45" x14ac:dyDescent="0.3">
      <c r="A309">
        <v>10</v>
      </c>
      <c r="B309">
        <v>45.83</v>
      </c>
      <c r="C309" t="s">
        <v>18</v>
      </c>
      <c r="D309">
        <v>191.822</v>
      </c>
      <c r="E309">
        <v>2438</v>
      </c>
      <c r="F309">
        <v>2479.6999999999998</v>
      </c>
      <c r="G309">
        <v>2515.6</v>
      </c>
      <c r="H309">
        <v>2551.6</v>
      </c>
      <c r="I309">
        <v>2588</v>
      </c>
      <c r="J309">
        <v>2624.5</v>
      </c>
      <c r="K309">
        <v>2661.4</v>
      </c>
      <c r="L309">
        <v>2691.16</v>
      </c>
      <c r="M309">
        <v>2698.6</v>
      </c>
      <c r="N309">
        <v>2721.1</v>
      </c>
      <c r="O309">
        <v>2736.1</v>
      </c>
      <c r="P309">
        <v>2751.3199999999997</v>
      </c>
      <c r="Q309">
        <v>2774.1499999999996</v>
      </c>
      <c r="R309">
        <v>2781.7599999999998</v>
      </c>
      <c r="S309">
        <v>2796.9799999999996</v>
      </c>
      <c r="T309">
        <v>2812.2</v>
      </c>
      <c r="U309">
        <v>2843.24</v>
      </c>
      <c r="V309">
        <v>2851</v>
      </c>
      <c r="W309">
        <v>2874.28</v>
      </c>
      <c r="X309">
        <v>2889.8</v>
      </c>
      <c r="Y309">
        <v>2905.6400000000003</v>
      </c>
      <c r="Z309">
        <v>2929.4</v>
      </c>
      <c r="AA309">
        <v>2937.32</v>
      </c>
      <c r="AB309">
        <v>2969</v>
      </c>
      <c r="AC309">
        <v>3009.4</v>
      </c>
      <c r="AD309">
        <v>3049.8</v>
      </c>
      <c r="AE309">
        <v>3091.05</v>
      </c>
      <c r="AF309">
        <v>3132.3</v>
      </c>
      <c r="AG309">
        <v>3174.45</v>
      </c>
      <c r="AH309">
        <v>3216.6</v>
      </c>
      <c r="AI309">
        <v>3259.6</v>
      </c>
      <c r="AJ309">
        <v>3302.6</v>
      </c>
      <c r="AK309">
        <v>3346.45</v>
      </c>
      <c r="AL309">
        <v>3390.3</v>
      </c>
      <c r="AS309">
        <v>1250</v>
      </c>
    </row>
    <row r="310" spans="1:45" x14ac:dyDescent="0.3">
      <c r="A310">
        <v>10</v>
      </c>
      <c r="B310">
        <v>45.83</v>
      </c>
      <c r="C310" t="s">
        <v>19</v>
      </c>
      <c r="D310">
        <v>191.83199999999999</v>
      </c>
      <c r="E310">
        <v>2584.8000000000002</v>
      </c>
      <c r="F310">
        <v>2640</v>
      </c>
      <c r="G310">
        <v>2687.5</v>
      </c>
      <c r="H310">
        <v>2735.2</v>
      </c>
      <c r="I310">
        <v>2783.1</v>
      </c>
      <c r="J310">
        <v>2831.2</v>
      </c>
      <c r="K310">
        <v>2879.6</v>
      </c>
      <c r="L310">
        <v>2918.64</v>
      </c>
      <c r="M310">
        <v>2928.4</v>
      </c>
      <c r="N310">
        <v>2957.8</v>
      </c>
      <c r="O310">
        <v>2977.4</v>
      </c>
      <c r="P310">
        <v>2997.2400000000002</v>
      </c>
      <c r="Q310">
        <v>3027</v>
      </c>
      <c r="R310">
        <v>3036.92</v>
      </c>
      <c r="S310">
        <v>3056.76</v>
      </c>
      <c r="T310">
        <v>3076.6</v>
      </c>
      <c r="U310">
        <v>3116.88</v>
      </c>
      <c r="V310">
        <v>3126.9500000000003</v>
      </c>
      <c r="W310">
        <v>3157.1600000000003</v>
      </c>
      <c r="X310">
        <v>3177.3</v>
      </c>
      <c r="Y310">
        <v>3197.76</v>
      </c>
      <c r="Z310">
        <v>3228.4500000000003</v>
      </c>
      <c r="AA310">
        <v>3238.6800000000003</v>
      </c>
      <c r="AB310">
        <v>3279.6</v>
      </c>
      <c r="AC310">
        <v>3331.5499999999997</v>
      </c>
      <c r="AD310">
        <v>3383.5</v>
      </c>
      <c r="AE310">
        <v>3436.3</v>
      </c>
      <c r="AF310">
        <v>3489.1</v>
      </c>
      <c r="AG310">
        <v>3542.8</v>
      </c>
      <c r="AH310">
        <v>3596.5</v>
      </c>
      <c r="AI310">
        <v>3651</v>
      </c>
      <c r="AJ310">
        <v>3705.5</v>
      </c>
      <c r="AK310">
        <v>3760.9</v>
      </c>
      <c r="AL310">
        <v>3816.3</v>
      </c>
      <c r="AS310">
        <v>1300</v>
      </c>
    </row>
    <row r="311" spans="1:45" x14ac:dyDescent="0.3">
      <c r="A311">
        <v>10</v>
      </c>
      <c r="B311">
        <v>45.83</v>
      </c>
      <c r="C311" t="s">
        <v>20</v>
      </c>
      <c r="D311">
        <v>0.64929999999999999</v>
      </c>
      <c r="E311">
        <v>8.1510999999999996</v>
      </c>
      <c r="F311">
        <v>8.3168000000000006</v>
      </c>
      <c r="G311">
        <v>8.4486000000000008</v>
      </c>
      <c r="H311">
        <v>8.5722000000000005</v>
      </c>
      <c r="I311">
        <v>8.6888000000000005</v>
      </c>
      <c r="J311">
        <v>8.7994000000000003</v>
      </c>
      <c r="K311">
        <v>8.9045000000000005</v>
      </c>
      <c r="L311">
        <v>8.9848199999999991</v>
      </c>
      <c r="M311">
        <v>9.0048999999999992</v>
      </c>
      <c r="N311">
        <v>9.0625599999999995</v>
      </c>
      <c r="O311">
        <v>9.1010000000000009</v>
      </c>
      <c r="P311">
        <v>9.1372</v>
      </c>
      <c r="Q311">
        <v>9.1914999999999996</v>
      </c>
      <c r="R311">
        <v>9.2096</v>
      </c>
      <c r="S311">
        <v>9.2457999999999991</v>
      </c>
      <c r="T311">
        <v>9.282</v>
      </c>
      <c r="U311">
        <v>9.3493600000000008</v>
      </c>
      <c r="V311">
        <v>9.366200000000001</v>
      </c>
      <c r="W311">
        <v>9.4167199999999998</v>
      </c>
      <c r="X311">
        <v>9.4504000000000001</v>
      </c>
      <c r="Y311">
        <v>9.4819800000000001</v>
      </c>
      <c r="Z311">
        <v>9.5293500000000009</v>
      </c>
      <c r="AA311">
        <v>9.54514</v>
      </c>
      <c r="AB311">
        <v>9.6082999999999998</v>
      </c>
      <c r="AC311">
        <v>9.6827499999999986</v>
      </c>
      <c r="AD311">
        <v>9.7571999999999992</v>
      </c>
      <c r="AE311">
        <v>9.8277999999999999</v>
      </c>
      <c r="AF311">
        <v>9.8984000000000005</v>
      </c>
      <c r="AG311">
        <v>9.9656500000000001</v>
      </c>
      <c r="AH311">
        <v>10.0329</v>
      </c>
      <c r="AI311">
        <v>10.097249999999999</v>
      </c>
      <c r="AJ311">
        <v>10.1616</v>
      </c>
      <c r="AK311">
        <v>10.22325</v>
      </c>
      <c r="AL311">
        <v>10.2849</v>
      </c>
      <c r="AS311">
        <v>1350</v>
      </c>
    </row>
    <row r="312" spans="1:45" x14ac:dyDescent="0.3">
      <c r="A312">
        <v>20</v>
      </c>
      <c r="B312">
        <v>60.09</v>
      </c>
      <c r="C312" t="s">
        <v>0</v>
      </c>
      <c r="D312">
        <v>1.0169999999999999</v>
      </c>
      <c r="E312">
        <v>7649.8</v>
      </c>
      <c r="F312">
        <v>8000</v>
      </c>
      <c r="G312">
        <v>8584.7000000000007</v>
      </c>
      <c r="H312">
        <v>9167.1</v>
      </c>
      <c r="I312">
        <v>9748</v>
      </c>
      <c r="J312">
        <v>10320</v>
      </c>
      <c r="K312">
        <v>10900</v>
      </c>
      <c r="L312">
        <v>11364</v>
      </c>
      <c r="M312">
        <v>11480</v>
      </c>
      <c r="N312">
        <v>11828</v>
      </c>
      <c r="O312">
        <v>12060</v>
      </c>
      <c r="P312">
        <v>12290</v>
      </c>
      <c r="Q312">
        <v>12635</v>
      </c>
      <c r="R312">
        <v>12750</v>
      </c>
      <c r="S312">
        <v>12980</v>
      </c>
      <c r="T312">
        <v>13210</v>
      </c>
      <c r="U312">
        <v>13674</v>
      </c>
      <c r="V312">
        <v>13790</v>
      </c>
      <c r="W312">
        <v>14138</v>
      </c>
      <c r="X312">
        <v>14370</v>
      </c>
      <c r="Y312">
        <v>14600</v>
      </c>
      <c r="Z312">
        <v>14945</v>
      </c>
      <c r="AA312">
        <v>15060</v>
      </c>
      <c r="AB312">
        <v>15520</v>
      </c>
      <c r="AC312">
        <v>16100</v>
      </c>
      <c r="AD312">
        <v>16680</v>
      </c>
      <c r="AE312">
        <v>17255</v>
      </c>
      <c r="AF312">
        <v>17830</v>
      </c>
      <c r="AG312">
        <v>18410</v>
      </c>
      <c r="AH312">
        <v>18990</v>
      </c>
      <c r="AI312">
        <v>19565</v>
      </c>
      <c r="AJ312">
        <v>20140</v>
      </c>
      <c r="AK312">
        <v>20720</v>
      </c>
      <c r="AL312">
        <v>21300</v>
      </c>
      <c r="AS312">
        <v>1400</v>
      </c>
    </row>
    <row r="313" spans="1:45" x14ac:dyDescent="0.3">
      <c r="A313">
        <v>20</v>
      </c>
      <c r="B313">
        <v>60.09</v>
      </c>
      <c r="C313" t="s">
        <v>18</v>
      </c>
      <c r="D313">
        <v>251.43199999999999</v>
      </c>
      <c r="E313">
        <v>2456.9</v>
      </c>
      <c r="F313">
        <v>2478.4</v>
      </c>
      <c r="G313">
        <v>2514.6</v>
      </c>
      <c r="H313">
        <v>2550.9</v>
      </c>
      <c r="I313">
        <v>2587.4</v>
      </c>
      <c r="J313">
        <v>2624.1</v>
      </c>
      <c r="K313">
        <v>2661</v>
      </c>
      <c r="L313">
        <v>2690.84</v>
      </c>
      <c r="M313">
        <v>2698.3</v>
      </c>
      <c r="N313">
        <v>2720.8</v>
      </c>
      <c r="O313">
        <v>2735.8</v>
      </c>
      <c r="P313">
        <v>2751.04</v>
      </c>
      <c r="Q313">
        <v>2773.9</v>
      </c>
      <c r="R313">
        <v>2781.52</v>
      </c>
      <c r="S313">
        <v>2796.76</v>
      </c>
      <c r="T313">
        <v>2812</v>
      </c>
      <c r="U313">
        <v>2843.04</v>
      </c>
      <c r="V313">
        <v>2850.8</v>
      </c>
      <c r="W313">
        <v>2874.08</v>
      </c>
      <c r="X313">
        <v>2889.6</v>
      </c>
      <c r="Y313">
        <v>2905.46</v>
      </c>
      <c r="Z313">
        <v>2929.25</v>
      </c>
      <c r="AA313">
        <v>2937.18</v>
      </c>
      <c r="AB313">
        <v>2968.9</v>
      </c>
      <c r="AC313">
        <v>3009.3</v>
      </c>
      <c r="AD313">
        <v>3049.7</v>
      </c>
      <c r="AE313">
        <v>3091</v>
      </c>
      <c r="AF313">
        <v>3132.3</v>
      </c>
      <c r="AG313">
        <v>3174.4</v>
      </c>
      <c r="AH313">
        <v>3216.5</v>
      </c>
      <c r="AI313">
        <v>3259.5</v>
      </c>
      <c r="AJ313">
        <v>3302.5</v>
      </c>
      <c r="AK313">
        <v>3346.35</v>
      </c>
      <c r="AL313">
        <v>3390.2</v>
      </c>
      <c r="AS313">
        <v>1450</v>
      </c>
    </row>
    <row r="314" spans="1:45" x14ac:dyDescent="0.3">
      <c r="A314">
        <v>20</v>
      </c>
      <c r="B314">
        <v>60.09</v>
      </c>
      <c r="C314" t="s">
        <v>19</v>
      </c>
      <c r="D314">
        <v>251.453</v>
      </c>
      <c r="E314">
        <v>2609.9</v>
      </c>
      <c r="F314">
        <v>2638.4</v>
      </c>
      <c r="G314">
        <v>2686.3</v>
      </c>
      <c r="H314">
        <v>2734.2</v>
      </c>
      <c r="I314">
        <v>2782.3</v>
      </c>
      <c r="J314">
        <v>2830.6</v>
      </c>
      <c r="K314">
        <v>2879.2</v>
      </c>
      <c r="L314">
        <v>2918.24</v>
      </c>
      <c r="M314">
        <v>2928</v>
      </c>
      <c r="N314">
        <v>2957.46</v>
      </c>
      <c r="O314">
        <v>2977.1</v>
      </c>
      <c r="P314">
        <v>2996.96</v>
      </c>
      <c r="Q314">
        <v>3026.75</v>
      </c>
      <c r="R314">
        <v>3036.68</v>
      </c>
      <c r="S314">
        <v>3056.54</v>
      </c>
      <c r="T314">
        <v>3076.4</v>
      </c>
      <c r="U314">
        <v>3116.68</v>
      </c>
      <c r="V314">
        <v>3126.75</v>
      </c>
      <c r="W314">
        <v>3156.96</v>
      </c>
      <c r="X314">
        <v>3177.1</v>
      </c>
      <c r="Y314">
        <v>3197.56</v>
      </c>
      <c r="Z314">
        <v>3228.25</v>
      </c>
      <c r="AA314">
        <v>3238.48</v>
      </c>
      <c r="AB314">
        <v>3279.4</v>
      </c>
      <c r="AC314">
        <v>3331.4</v>
      </c>
      <c r="AD314">
        <v>3383.4</v>
      </c>
      <c r="AE314">
        <v>3436.2</v>
      </c>
      <c r="AF314">
        <v>3489</v>
      </c>
      <c r="AG314">
        <v>3542.7</v>
      </c>
      <c r="AH314">
        <v>3596.4</v>
      </c>
      <c r="AI314">
        <v>3650.9</v>
      </c>
      <c r="AJ314">
        <v>3705.4</v>
      </c>
      <c r="AK314">
        <v>3760.8</v>
      </c>
      <c r="AL314">
        <v>3816.2</v>
      </c>
      <c r="AS314">
        <v>1500</v>
      </c>
    </row>
    <row r="315" spans="1:45" x14ac:dyDescent="0.3">
      <c r="A315">
        <v>20</v>
      </c>
      <c r="B315">
        <v>60.09</v>
      </c>
      <c r="C315" t="s">
        <v>20</v>
      </c>
      <c r="D315">
        <v>0.83209999999999995</v>
      </c>
      <c r="E315">
        <v>7.9093999999999998</v>
      </c>
      <c r="F315">
        <v>7.9932999999999996</v>
      </c>
      <c r="G315">
        <v>8.1260999999999992</v>
      </c>
      <c r="H315">
        <v>8.2504000000000008</v>
      </c>
      <c r="I315">
        <v>8.3675999999999995</v>
      </c>
      <c r="J315">
        <v>8.4785000000000004</v>
      </c>
      <c r="K315">
        <v>8.5838999999999999</v>
      </c>
      <c r="L315">
        <v>8.6643000000000008</v>
      </c>
      <c r="M315">
        <v>8.6844000000000001</v>
      </c>
      <c r="N315">
        <v>8.7421199999999999</v>
      </c>
      <c r="O315">
        <v>8.7805999999999997</v>
      </c>
      <c r="P315">
        <v>8.8168399999999991</v>
      </c>
      <c r="Q315">
        <v>8.8712</v>
      </c>
      <c r="R315">
        <v>8.8893199999999997</v>
      </c>
      <c r="S315">
        <v>8.9255600000000008</v>
      </c>
      <c r="T315">
        <v>8.9618000000000002</v>
      </c>
      <c r="U315">
        <v>9.0291999999999994</v>
      </c>
      <c r="V315">
        <v>9.0460499999999993</v>
      </c>
      <c r="W315">
        <v>9.0966000000000005</v>
      </c>
      <c r="X315">
        <v>9.1303000000000001</v>
      </c>
      <c r="Y315">
        <v>9.16188</v>
      </c>
      <c r="Z315">
        <v>9.2092500000000008</v>
      </c>
      <c r="AA315">
        <v>9.2250399999999999</v>
      </c>
      <c r="AB315">
        <v>9.2881999999999998</v>
      </c>
      <c r="AC315">
        <v>9.3627000000000002</v>
      </c>
      <c r="AD315">
        <v>9.4372000000000007</v>
      </c>
      <c r="AE315">
        <v>9.5077999999999996</v>
      </c>
      <c r="AF315">
        <v>9.5784000000000002</v>
      </c>
      <c r="AG315">
        <v>9.6456999999999997</v>
      </c>
      <c r="AH315">
        <v>9.7129999999999992</v>
      </c>
      <c r="AI315">
        <v>9.7773000000000003</v>
      </c>
      <c r="AJ315">
        <v>9.8415999999999997</v>
      </c>
      <c r="AK315">
        <v>9.9032999999999998</v>
      </c>
      <c r="AL315">
        <v>9.9649999999999999</v>
      </c>
      <c r="AS315">
        <v>1550</v>
      </c>
    </row>
    <row r="316" spans="1:45" x14ac:dyDescent="0.3">
      <c r="A316">
        <v>30</v>
      </c>
      <c r="B316">
        <v>69.12</v>
      </c>
      <c r="C316" t="s">
        <v>0</v>
      </c>
      <c r="D316">
        <v>1.022</v>
      </c>
      <c r="E316">
        <v>5229.3</v>
      </c>
      <c r="F316">
        <v>5322</v>
      </c>
      <c r="G316">
        <v>5714.4</v>
      </c>
      <c r="H316">
        <v>6104.6</v>
      </c>
      <c r="I316">
        <v>6493.2</v>
      </c>
      <c r="J316">
        <v>6880.8</v>
      </c>
      <c r="K316">
        <v>7267.5</v>
      </c>
      <c r="L316">
        <v>7576.54</v>
      </c>
      <c r="M316">
        <v>7653.8</v>
      </c>
      <c r="N316">
        <v>7885.34</v>
      </c>
      <c r="O316">
        <v>8039.7</v>
      </c>
      <c r="P316">
        <v>8193.92</v>
      </c>
      <c r="Q316">
        <v>8425.25</v>
      </c>
      <c r="R316">
        <v>8502.36</v>
      </c>
      <c r="S316">
        <v>8656.58</v>
      </c>
      <c r="T316">
        <v>8810.7999999999993</v>
      </c>
      <c r="U316">
        <v>9118.9599999999991</v>
      </c>
      <c r="V316">
        <v>9196</v>
      </c>
      <c r="W316">
        <v>9427.1200000000008</v>
      </c>
      <c r="X316">
        <v>9581.2000000000007</v>
      </c>
      <c r="Y316">
        <v>9734.9600000000009</v>
      </c>
      <c r="Z316">
        <v>9965.6</v>
      </c>
      <c r="AA316">
        <v>10042.48</v>
      </c>
      <c r="AB316">
        <v>10350</v>
      </c>
      <c r="AC316">
        <v>10735</v>
      </c>
      <c r="AD316">
        <v>11120</v>
      </c>
      <c r="AE316">
        <v>11505</v>
      </c>
      <c r="AF316">
        <v>11890</v>
      </c>
      <c r="AG316">
        <v>12275</v>
      </c>
      <c r="AH316">
        <v>12660</v>
      </c>
      <c r="AI316">
        <v>13045</v>
      </c>
      <c r="AJ316">
        <v>13430</v>
      </c>
      <c r="AK316">
        <v>13810</v>
      </c>
      <c r="AL316">
        <v>14190</v>
      </c>
      <c r="AS316">
        <v>1600</v>
      </c>
    </row>
    <row r="317" spans="1:45" x14ac:dyDescent="0.3">
      <c r="A317">
        <v>30</v>
      </c>
      <c r="B317">
        <v>69.12</v>
      </c>
      <c r="C317" t="s">
        <v>18</v>
      </c>
      <c r="D317">
        <v>289.27100000000002</v>
      </c>
      <c r="E317">
        <v>2468.6</v>
      </c>
      <c r="F317">
        <v>2477.1</v>
      </c>
      <c r="G317">
        <v>2513.6</v>
      </c>
      <c r="H317">
        <v>2550.1999999999998</v>
      </c>
      <c r="I317">
        <v>2586.8000000000002</v>
      </c>
      <c r="J317">
        <v>2623.6</v>
      </c>
      <c r="K317">
        <v>2660.7</v>
      </c>
      <c r="L317">
        <v>2690.54</v>
      </c>
      <c r="M317">
        <v>2698</v>
      </c>
      <c r="N317">
        <v>2720.56</v>
      </c>
      <c r="O317">
        <v>2735.6</v>
      </c>
      <c r="P317">
        <v>2750.84</v>
      </c>
      <c r="Q317">
        <v>2773.7000000000003</v>
      </c>
      <c r="R317">
        <v>2781.32</v>
      </c>
      <c r="S317">
        <v>2796.5600000000004</v>
      </c>
      <c r="T317">
        <v>2811.8</v>
      </c>
      <c r="U317">
        <v>2842.88</v>
      </c>
      <c r="V317">
        <v>2850.65</v>
      </c>
      <c r="W317">
        <v>2873.96</v>
      </c>
      <c r="X317">
        <v>2889.5</v>
      </c>
      <c r="Y317">
        <v>2905.34</v>
      </c>
      <c r="Z317">
        <v>2929.1</v>
      </c>
      <c r="AA317">
        <v>2937.02</v>
      </c>
      <c r="AB317">
        <v>2968.7</v>
      </c>
      <c r="AC317">
        <v>3009.1499999999996</v>
      </c>
      <c r="AD317">
        <v>3049.6</v>
      </c>
      <c r="AE317">
        <v>3090.8999999999996</v>
      </c>
      <c r="AF317">
        <v>3132.2</v>
      </c>
      <c r="AG317">
        <v>3174.35</v>
      </c>
      <c r="AH317">
        <v>3216.5</v>
      </c>
      <c r="AI317">
        <v>3259.5</v>
      </c>
      <c r="AJ317">
        <v>3302.5</v>
      </c>
      <c r="AK317">
        <v>3346.35</v>
      </c>
      <c r="AL317">
        <v>3390.2</v>
      </c>
      <c r="AS317">
        <v>1650</v>
      </c>
    </row>
    <row r="318" spans="1:45" x14ac:dyDescent="0.3">
      <c r="A318">
        <v>30</v>
      </c>
      <c r="B318">
        <v>69.12</v>
      </c>
      <c r="C318" t="s">
        <v>19</v>
      </c>
      <c r="D318">
        <v>289.30200000000002</v>
      </c>
      <c r="E318">
        <v>2625.4</v>
      </c>
      <c r="F318">
        <v>2636.8</v>
      </c>
      <c r="G318">
        <v>2685.1</v>
      </c>
      <c r="H318">
        <v>2733.3</v>
      </c>
      <c r="I318">
        <v>2781.6</v>
      </c>
      <c r="J318">
        <v>2830</v>
      </c>
      <c r="K318">
        <v>2878.7</v>
      </c>
      <c r="L318">
        <v>2917.8199999999997</v>
      </c>
      <c r="M318">
        <v>2927.6</v>
      </c>
      <c r="N318">
        <v>2957.12</v>
      </c>
      <c r="O318">
        <v>2976.8</v>
      </c>
      <c r="P318">
        <v>2996.6600000000003</v>
      </c>
      <c r="Q318">
        <v>3026.4500000000003</v>
      </c>
      <c r="R318">
        <v>3036.38</v>
      </c>
      <c r="S318">
        <v>3056.24</v>
      </c>
      <c r="T318">
        <v>3076.1</v>
      </c>
      <c r="U318">
        <v>3116.42</v>
      </c>
      <c r="V318">
        <v>3126.5</v>
      </c>
      <c r="W318">
        <v>3156.7400000000002</v>
      </c>
      <c r="X318">
        <v>3176.9</v>
      </c>
      <c r="Y318">
        <v>3197.38</v>
      </c>
      <c r="Z318">
        <v>3228.1000000000004</v>
      </c>
      <c r="AA318">
        <v>3238.34</v>
      </c>
      <c r="AB318">
        <v>3279.3</v>
      </c>
      <c r="AC318">
        <v>3331.3</v>
      </c>
      <c r="AD318">
        <v>3383.3</v>
      </c>
      <c r="AE318">
        <v>3436.1000000000004</v>
      </c>
      <c r="AF318">
        <v>3488.9</v>
      </c>
      <c r="AG318">
        <v>3542.6000000000004</v>
      </c>
      <c r="AH318">
        <v>3596.3</v>
      </c>
      <c r="AI318">
        <v>3650.8500000000004</v>
      </c>
      <c r="AJ318">
        <v>3705.4</v>
      </c>
      <c r="AK318">
        <v>3760.8</v>
      </c>
      <c r="AL318">
        <v>3816.2</v>
      </c>
      <c r="AS318">
        <v>1700</v>
      </c>
    </row>
    <row r="319" spans="1:45" x14ac:dyDescent="0.3">
      <c r="A319">
        <v>30</v>
      </c>
      <c r="B319">
        <v>69.12</v>
      </c>
      <c r="C319" t="s">
        <v>20</v>
      </c>
      <c r="D319">
        <v>0.94410000000000005</v>
      </c>
      <c r="E319">
        <v>7.7694999999999999</v>
      </c>
      <c r="F319">
        <v>7.8023999999999996</v>
      </c>
      <c r="G319">
        <v>7.9363000000000001</v>
      </c>
      <c r="H319">
        <v>8.0614000000000008</v>
      </c>
      <c r="I319">
        <v>8.1791</v>
      </c>
      <c r="J319">
        <v>8.2903000000000002</v>
      </c>
      <c r="K319">
        <v>8.3960000000000008</v>
      </c>
      <c r="L319">
        <v>8.476560000000001</v>
      </c>
      <c r="M319">
        <v>8.4967000000000006</v>
      </c>
      <c r="N319">
        <v>8.5544799999999999</v>
      </c>
      <c r="O319">
        <v>8.593</v>
      </c>
      <c r="P319">
        <v>8.6292799999999996</v>
      </c>
      <c r="Q319">
        <v>8.6837</v>
      </c>
      <c r="R319">
        <v>8.7018400000000007</v>
      </c>
      <c r="S319">
        <v>8.7381200000000003</v>
      </c>
      <c r="T319">
        <v>8.7744</v>
      </c>
      <c r="U319">
        <v>8.8418399999999995</v>
      </c>
      <c r="V319">
        <v>8.8586999999999989</v>
      </c>
      <c r="W319">
        <v>8.909279999999999</v>
      </c>
      <c r="X319">
        <v>8.9429999999999996</v>
      </c>
      <c r="Y319">
        <v>8.9746000000000006</v>
      </c>
      <c r="Z319">
        <v>9.0220000000000002</v>
      </c>
      <c r="AA319">
        <v>9.0378000000000007</v>
      </c>
      <c r="AB319">
        <v>9.1010000000000009</v>
      </c>
      <c r="AC319">
        <v>9.1754500000000014</v>
      </c>
      <c r="AD319">
        <v>9.2499000000000002</v>
      </c>
      <c r="AE319">
        <v>9.3205500000000008</v>
      </c>
      <c r="AF319">
        <v>9.3911999999999995</v>
      </c>
      <c r="AG319">
        <v>9.4584499999999991</v>
      </c>
      <c r="AH319">
        <v>9.5257000000000005</v>
      </c>
      <c r="AI319">
        <v>9.5900500000000015</v>
      </c>
      <c r="AJ319">
        <v>9.6544000000000008</v>
      </c>
      <c r="AK319">
        <v>9.7161000000000008</v>
      </c>
      <c r="AL319">
        <v>9.7777999999999992</v>
      </c>
      <c r="AS319">
        <v>1750</v>
      </c>
    </row>
    <row r="320" spans="1:45" x14ac:dyDescent="0.3">
      <c r="A320">
        <v>40</v>
      </c>
      <c r="B320">
        <v>75.89</v>
      </c>
      <c r="C320" t="s">
        <v>0</v>
      </c>
      <c r="D320">
        <v>1.0269999999999999</v>
      </c>
      <c r="E320">
        <v>3993.4</v>
      </c>
      <c r="F320" t="s">
        <v>21</v>
      </c>
      <c r="G320">
        <v>4279.2</v>
      </c>
      <c r="H320">
        <v>4573.3</v>
      </c>
      <c r="I320">
        <v>4865.8</v>
      </c>
      <c r="J320">
        <v>5157.2</v>
      </c>
      <c r="K320">
        <v>5447.8</v>
      </c>
      <c r="L320">
        <v>5679.96</v>
      </c>
      <c r="M320">
        <v>5738</v>
      </c>
      <c r="N320">
        <v>5911.82</v>
      </c>
      <c r="O320">
        <v>6027.7</v>
      </c>
      <c r="P320">
        <v>6143.46</v>
      </c>
      <c r="Q320">
        <v>6317.1</v>
      </c>
      <c r="R320">
        <v>6374.9800000000005</v>
      </c>
      <c r="S320">
        <v>6490.74</v>
      </c>
      <c r="T320">
        <v>6606.5</v>
      </c>
      <c r="U320">
        <v>6837.74</v>
      </c>
      <c r="V320">
        <v>6895.55</v>
      </c>
      <c r="W320">
        <v>7068.9800000000005</v>
      </c>
      <c r="X320">
        <v>7184.6</v>
      </c>
      <c r="Y320">
        <v>7300.18</v>
      </c>
      <c r="Z320">
        <v>7473.55</v>
      </c>
      <c r="AA320">
        <v>7531.34</v>
      </c>
      <c r="AB320">
        <v>7762.5</v>
      </c>
      <c r="AC320">
        <v>8051.3</v>
      </c>
      <c r="AD320">
        <v>8340.1</v>
      </c>
      <c r="AE320">
        <v>8628.85</v>
      </c>
      <c r="AF320">
        <v>8917.6</v>
      </c>
      <c r="AG320">
        <v>9206.25</v>
      </c>
      <c r="AH320">
        <v>9494.9</v>
      </c>
      <c r="AI320">
        <v>9782.4500000000007</v>
      </c>
      <c r="AJ320">
        <v>10070</v>
      </c>
      <c r="AK320">
        <v>10355</v>
      </c>
      <c r="AL320">
        <v>10640</v>
      </c>
      <c r="AS320">
        <v>1800</v>
      </c>
    </row>
    <row r="321" spans="1:45" x14ac:dyDescent="0.3">
      <c r="A321">
        <v>40</v>
      </c>
      <c r="B321">
        <v>75.89</v>
      </c>
      <c r="C321" t="s">
        <v>18</v>
      </c>
      <c r="D321">
        <v>317.60899999999998</v>
      </c>
      <c r="E321">
        <v>2477.1</v>
      </c>
      <c r="F321" t="s">
        <v>21</v>
      </c>
      <c r="G321">
        <v>2512.6</v>
      </c>
      <c r="H321">
        <v>2549.4</v>
      </c>
      <c r="I321">
        <v>2586.1999999999998</v>
      </c>
      <c r="J321">
        <v>2623.2</v>
      </c>
      <c r="K321">
        <v>2660.3</v>
      </c>
      <c r="L321">
        <v>2690.22</v>
      </c>
      <c r="M321">
        <v>2697.7</v>
      </c>
      <c r="N321">
        <v>2720.32</v>
      </c>
      <c r="O321">
        <v>2735.4</v>
      </c>
      <c r="P321">
        <v>2750.64</v>
      </c>
      <c r="Q321">
        <v>2773.5</v>
      </c>
      <c r="R321">
        <v>2781.12</v>
      </c>
      <c r="S321">
        <v>2796.3599999999997</v>
      </c>
      <c r="T321">
        <v>2811.6</v>
      </c>
      <c r="U321">
        <v>2842.72</v>
      </c>
      <c r="V321">
        <v>2850.5</v>
      </c>
      <c r="W321">
        <v>2873.84</v>
      </c>
      <c r="X321">
        <v>2889.4</v>
      </c>
      <c r="Y321">
        <v>2905.2400000000002</v>
      </c>
      <c r="Z321">
        <v>2929</v>
      </c>
      <c r="AA321">
        <v>2936.92</v>
      </c>
      <c r="AB321">
        <v>2968.6</v>
      </c>
      <c r="AC321">
        <v>3009.05</v>
      </c>
      <c r="AD321">
        <v>3049.5</v>
      </c>
      <c r="AE321">
        <v>3090.8</v>
      </c>
      <c r="AF321">
        <v>3132.1</v>
      </c>
      <c r="AG321">
        <v>3174.25</v>
      </c>
      <c r="AH321">
        <v>3216.4</v>
      </c>
      <c r="AI321">
        <v>3259.4</v>
      </c>
      <c r="AJ321">
        <v>3302.4</v>
      </c>
      <c r="AK321">
        <v>3346.25</v>
      </c>
      <c r="AL321">
        <v>3390.1</v>
      </c>
      <c r="AS321">
        <v>1850</v>
      </c>
    </row>
    <row r="322" spans="1:45" x14ac:dyDescent="0.3">
      <c r="A322">
        <v>40</v>
      </c>
      <c r="B322">
        <v>75.89</v>
      </c>
      <c r="C322" t="s">
        <v>19</v>
      </c>
      <c r="D322">
        <v>317.64999999999998</v>
      </c>
      <c r="E322">
        <v>2636.9</v>
      </c>
      <c r="F322" t="s">
        <v>21</v>
      </c>
      <c r="G322">
        <v>2683.8</v>
      </c>
      <c r="H322">
        <v>2732.3</v>
      </c>
      <c r="I322">
        <v>2780.9</v>
      </c>
      <c r="J322">
        <v>2829.5</v>
      </c>
      <c r="K322">
        <v>2878.2</v>
      </c>
      <c r="L322">
        <v>2917.3999999999996</v>
      </c>
      <c r="M322">
        <v>2927.2</v>
      </c>
      <c r="N322">
        <v>2956.7799999999997</v>
      </c>
      <c r="O322">
        <v>2976.5</v>
      </c>
      <c r="P322">
        <v>2996.38</v>
      </c>
      <c r="Q322">
        <v>3026.2000000000003</v>
      </c>
      <c r="R322">
        <v>3036.1400000000003</v>
      </c>
      <c r="S322">
        <v>3056.0200000000004</v>
      </c>
      <c r="T322">
        <v>3075.9</v>
      </c>
      <c r="U322">
        <v>3116.26</v>
      </c>
      <c r="V322">
        <v>3126.3500000000004</v>
      </c>
      <c r="W322">
        <v>3156.6200000000003</v>
      </c>
      <c r="X322">
        <v>3176.8</v>
      </c>
      <c r="Y322">
        <v>3197.26</v>
      </c>
      <c r="Z322">
        <v>3227.9500000000003</v>
      </c>
      <c r="AA322">
        <v>3238.1800000000003</v>
      </c>
      <c r="AB322">
        <v>3279.1</v>
      </c>
      <c r="AC322">
        <v>3331.1</v>
      </c>
      <c r="AD322">
        <v>3383.1</v>
      </c>
      <c r="AE322">
        <v>3435.9500000000003</v>
      </c>
      <c r="AF322">
        <v>3488.8</v>
      </c>
      <c r="AG322">
        <v>3542.5</v>
      </c>
      <c r="AH322">
        <v>3596.2</v>
      </c>
      <c r="AI322">
        <v>3650.75</v>
      </c>
      <c r="AJ322">
        <v>3705.3</v>
      </c>
      <c r="AK322">
        <v>3760.7</v>
      </c>
      <c r="AL322">
        <v>3816.1</v>
      </c>
      <c r="AS322">
        <v>1900</v>
      </c>
    </row>
    <row r="323" spans="1:45" x14ac:dyDescent="0.3">
      <c r="A323">
        <v>40</v>
      </c>
      <c r="B323">
        <v>75.89</v>
      </c>
      <c r="C323" t="s">
        <v>20</v>
      </c>
      <c r="D323">
        <v>1.0261</v>
      </c>
      <c r="E323">
        <v>7.6708999999999996</v>
      </c>
      <c r="F323" t="s">
        <v>21</v>
      </c>
      <c r="G323">
        <v>7.8009000000000004</v>
      </c>
      <c r="H323">
        <v>7.9268000000000001</v>
      </c>
      <c r="I323">
        <v>8.0449999999999999</v>
      </c>
      <c r="J323">
        <v>8.1565999999999992</v>
      </c>
      <c r="K323">
        <v>8.2623999999999995</v>
      </c>
      <c r="L323">
        <v>8.3431200000000008</v>
      </c>
      <c r="M323">
        <v>8.3633000000000006</v>
      </c>
      <c r="N323">
        <v>8.4212000000000007</v>
      </c>
      <c r="O323">
        <v>8.4597999999999995</v>
      </c>
      <c r="P323">
        <v>8.4961000000000002</v>
      </c>
      <c r="Q323">
        <v>8.5505499999999994</v>
      </c>
      <c r="R323">
        <v>8.5686999999999998</v>
      </c>
      <c r="S323">
        <v>8.6050000000000004</v>
      </c>
      <c r="T323">
        <v>8.6412999999999993</v>
      </c>
      <c r="U323">
        <v>8.7087799999999991</v>
      </c>
      <c r="V323">
        <v>8.7256499999999999</v>
      </c>
      <c r="W323">
        <v>8.7762600000000006</v>
      </c>
      <c r="X323">
        <v>8.81</v>
      </c>
      <c r="Y323">
        <v>8.8415999999999997</v>
      </c>
      <c r="Z323">
        <v>8.8889999999999993</v>
      </c>
      <c r="AA323">
        <v>8.9047999999999998</v>
      </c>
      <c r="AB323">
        <v>8.968</v>
      </c>
      <c r="AC323">
        <v>9.0425000000000004</v>
      </c>
      <c r="AD323">
        <v>9.1170000000000009</v>
      </c>
      <c r="AE323">
        <v>9.1876500000000014</v>
      </c>
      <c r="AF323">
        <v>9.2583000000000002</v>
      </c>
      <c r="AG323">
        <v>9.3255999999999997</v>
      </c>
      <c r="AH323">
        <v>9.3928999999999991</v>
      </c>
      <c r="AI323">
        <v>9.4572499999999984</v>
      </c>
      <c r="AJ323">
        <v>9.5215999999999994</v>
      </c>
      <c r="AK323">
        <v>9.5832999999999995</v>
      </c>
      <c r="AL323">
        <v>9.6449999999999996</v>
      </c>
      <c r="AS323">
        <v>1950</v>
      </c>
    </row>
    <row r="324" spans="1:45" x14ac:dyDescent="0.3">
      <c r="A324">
        <v>50</v>
      </c>
      <c r="B324">
        <v>81.349999999999994</v>
      </c>
      <c r="C324" t="s">
        <v>0</v>
      </c>
      <c r="D324">
        <v>1.03</v>
      </c>
      <c r="E324">
        <v>3240.2</v>
      </c>
      <c r="F324" t="s">
        <v>21</v>
      </c>
      <c r="G324">
        <v>3418.1</v>
      </c>
      <c r="H324">
        <v>3654.5</v>
      </c>
      <c r="I324">
        <v>3889.3</v>
      </c>
      <c r="J324">
        <v>4123</v>
      </c>
      <c r="K324">
        <v>4356</v>
      </c>
      <c r="L324">
        <v>4542</v>
      </c>
      <c r="M324">
        <v>4588.5</v>
      </c>
      <c r="N324">
        <v>4727.7</v>
      </c>
      <c r="O324">
        <v>4820.5</v>
      </c>
      <c r="P324">
        <v>4913.18</v>
      </c>
      <c r="Q324">
        <v>5052.2</v>
      </c>
      <c r="R324">
        <v>5098.54</v>
      </c>
      <c r="S324">
        <v>5191.2199999999993</v>
      </c>
      <c r="T324">
        <v>5283.9</v>
      </c>
      <c r="U324">
        <v>5469.0199999999995</v>
      </c>
      <c r="V324">
        <v>5515.2999999999993</v>
      </c>
      <c r="W324">
        <v>5654.1399999999994</v>
      </c>
      <c r="X324">
        <v>5746.7</v>
      </c>
      <c r="Y324">
        <v>5839.18</v>
      </c>
      <c r="Z324">
        <v>5977.9000000000005</v>
      </c>
      <c r="AA324">
        <v>6024.14</v>
      </c>
      <c r="AB324">
        <v>6209.1</v>
      </c>
      <c r="AC324">
        <v>6440.25</v>
      </c>
      <c r="AD324">
        <v>6671.4</v>
      </c>
      <c r="AE324">
        <v>6902.45</v>
      </c>
      <c r="AF324">
        <v>7133.5</v>
      </c>
      <c r="AG324">
        <v>7364.5</v>
      </c>
      <c r="AH324">
        <v>7595.5</v>
      </c>
      <c r="AI324">
        <v>7826.45</v>
      </c>
      <c r="AJ324">
        <v>8057.4</v>
      </c>
      <c r="AK324">
        <v>8288.2999999999993</v>
      </c>
      <c r="AL324">
        <v>8519.2000000000007</v>
      </c>
      <c r="AS324">
        <v>2000</v>
      </c>
    </row>
    <row r="325" spans="1:45" x14ac:dyDescent="0.3">
      <c r="A325">
        <v>50</v>
      </c>
      <c r="B325">
        <v>81.349999999999994</v>
      </c>
      <c r="C325" t="s">
        <v>18</v>
      </c>
      <c r="D325">
        <v>340.51299999999998</v>
      </c>
      <c r="E325">
        <v>2484</v>
      </c>
      <c r="F325" t="s">
        <v>21</v>
      </c>
      <c r="G325">
        <v>2511.6999999999998</v>
      </c>
      <c r="H325">
        <v>2548.6</v>
      </c>
      <c r="I325">
        <v>2585.6</v>
      </c>
      <c r="J325">
        <v>2622.7</v>
      </c>
      <c r="K325">
        <v>2659.9</v>
      </c>
      <c r="L325">
        <v>2689.9</v>
      </c>
      <c r="M325">
        <v>2697.4</v>
      </c>
      <c r="N325">
        <v>2720.02</v>
      </c>
      <c r="O325">
        <v>2735.1</v>
      </c>
      <c r="P325">
        <v>2750.38</v>
      </c>
      <c r="Q325">
        <v>2773.3</v>
      </c>
      <c r="R325">
        <v>2780.94</v>
      </c>
      <c r="S325">
        <v>2796.2200000000003</v>
      </c>
      <c r="T325">
        <v>2811.5</v>
      </c>
      <c r="U325">
        <v>2842.58</v>
      </c>
      <c r="V325">
        <v>2850.35</v>
      </c>
      <c r="W325">
        <v>2873.66</v>
      </c>
      <c r="X325">
        <v>2889.2</v>
      </c>
      <c r="Y325">
        <v>2905.06</v>
      </c>
      <c r="Z325">
        <v>2928.85</v>
      </c>
      <c r="AA325">
        <v>2936.7799999999997</v>
      </c>
      <c r="AB325">
        <v>2968.5</v>
      </c>
      <c r="AC325">
        <v>3008.95</v>
      </c>
      <c r="AD325">
        <v>3049.4</v>
      </c>
      <c r="AE325">
        <v>3090.7</v>
      </c>
      <c r="AF325">
        <v>3132</v>
      </c>
      <c r="AG325">
        <v>3174.15</v>
      </c>
      <c r="AH325">
        <v>3216.3</v>
      </c>
      <c r="AI325">
        <v>3259.3</v>
      </c>
      <c r="AJ325">
        <v>3302.3</v>
      </c>
      <c r="AK325">
        <v>3346.2</v>
      </c>
      <c r="AL325">
        <v>3390.1</v>
      </c>
      <c r="AS325">
        <v>2100</v>
      </c>
    </row>
    <row r="326" spans="1:45" x14ac:dyDescent="0.3">
      <c r="A326">
        <v>50</v>
      </c>
      <c r="B326">
        <v>81.349999999999994</v>
      </c>
      <c r="C326" t="s">
        <v>19</v>
      </c>
      <c r="D326">
        <v>340.56400000000002</v>
      </c>
      <c r="E326">
        <v>2646</v>
      </c>
      <c r="F326" t="s">
        <v>21</v>
      </c>
      <c r="G326">
        <v>2682.6</v>
      </c>
      <c r="H326">
        <v>2731.4</v>
      </c>
      <c r="I326">
        <v>2780.1</v>
      </c>
      <c r="J326">
        <v>2828.9</v>
      </c>
      <c r="K326">
        <v>2877.7</v>
      </c>
      <c r="L326">
        <v>2916.98</v>
      </c>
      <c r="M326">
        <v>2926.8</v>
      </c>
      <c r="N326">
        <v>2956.38</v>
      </c>
      <c r="O326">
        <v>2976.1</v>
      </c>
      <c r="P326">
        <v>2996.02</v>
      </c>
      <c r="Q326">
        <v>3025.9</v>
      </c>
      <c r="R326">
        <v>3035.86</v>
      </c>
      <c r="S326">
        <v>3055.7799999999997</v>
      </c>
      <c r="T326">
        <v>3075.7</v>
      </c>
      <c r="U326">
        <v>3116.06</v>
      </c>
      <c r="V326">
        <v>3126.15</v>
      </c>
      <c r="W326">
        <v>3156.42</v>
      </c>
      <c r="X326">
        <v>3176.6</v>
      </c>
      <c r="Y326">
        <v>3197.08</v>
      </c>
      <c r="Z326">
        <v>3227.8</v>
      </c>
      <c r="AA326">
        <v>3238.04</v>
      </c>
      <c r="AB326">
        <v>3279</v>
      </c>
      <c r="AC326">
        <v>3331</v>
      </c>
      <c r="AD326">
        <v>3383</v>
      </c>
      <c r="AE326">
        <v>3435.85</v>
      </c>
      <c r="AF326">
        <v>3488.7</v>
      </c>
      <c r="AG326">
        <v>3542.3999999999996</v>
      </c>
      <c r="AH326">
        <v>3596.1</v>
      </c>
      <c r="AI326">
        <v>3650.6499999999996</v>
      </c>
      <c r="AJ326">
        <v>3705.2</v>
      </c>
      <c r="AK326">
        <v>3760.6</v>
      </c>
      <c r="AL326">
        <v>3816</v>
      </c>
      <c r="AS326">
        <v>2200</v>
      </c>
    </row>
    <row r="327" spans="1:45" x14ac:dyDescent="0.3">
      <c r="A327">
        <v>50</v>
      </c>
      <c r="B327">
        <v>81.349999999999994</v>
      </c>
      <c r="C327" t="s">
        <v>20</v>
      </c>
      <c r="D327">
        <v>1.0911999999999999</v>
      </c>
      <c r="E327">
        <v>7.5946999999999996</v>
      </c>
      <c r="F327" t="s">
        <v>21</v>
      </c>
      <c r="G327">
        <v>7.6952999999999996</v>
      </c>
      <c r="H327">
        <v>7.8219000000000003</v>
      </c>
      <c r="I327">
        <v>7.9405999999999999</v>
      </c>
      <c r="J327">
        <v>8.0526</v>
      </c>
      <c r="K327">
        <v>8.1586999999999996</v>
      </c>
      <c r="L327">
        <v>8.2395800000000001</v>
      </c>
      <c r="M327">
        <v>8.2598000000000003</v>
      </c>
      <c r="N327">
        <v>8.3177599999999998</v>
      </c>
      <c r="O327">
        <v>8.3564000000000007</v>
      </c>
      <c r="P327">
        <v>8.3927200000000006</v>
      </c>
      <c r="Q327">
        <v>8.4472000000000005</v>
      </c>
      <c r="R327">
        <v>8.4653600000000004</v>
      </c>
      <c r="S327">
        <v>8.5016800000000003</v>
      </c>
      <c r="T327">
        <v>8.5380000000000003</v>
      </c>
      <c r="U327">
        <v>8.6055200000000003</v>
      </c>
      <c r="V327">
        <v>8.6224000000000007</v>
      </c>
      <c r="W327">
        <v>8.6730400000000003</v>
      </c>
      <c r="X327">
        <v>8.7067999999999994</v>
      </c>
      <c r="Y327">
        <v>8.7384199999999996</v>
      </c>
      <c r="Z327">
        <v>8.7858499999999999</v>
      </c>
      <c r="AA327">
        <v>8.80166</v>
      </c>
      <c r="AB327">
        <v>8.8649000000000004</v>
      </c>
      <c r="AC327">
        <v>8.9393999999999991</v>
      </c>
      <c r="AD327">
        <v>9.0138999999999996</v>
      </c>
      <c r="AE327">
        <v>9.0845500000000001</v>
      </c>
      <c r="AF327">
        <v>9.1552000000000007</v>
      </c>
      <c r="AG327">
        <v>9.2225000000000001</v>
      </c>
      <c r="AH327">
        <v>9.2897999999999996</v>
      </c>
      <c r="AI327">
        <v>9.3541500000000006</v>
      </c>
      <c r="AJ327">
        <v>9.4184999999999999</v>
      </c>
      <c r="AK327">
        <v>9.4802</v>
      </c>
      <c r="AL327">
        <v>9.5419</v>
      </c>
      <c r="AS327">
        <v>2300</v>
      </c>
    </row>
    <row r="328" spans="1:45" x14ac:dyDescent="0.3">
      <c r="A328">
        <v>75</v>
      </c>
      <c r="B328">
        <v>91.79</v>
      </c>
      <c r="C328" t="s">
        <v>0</v>
      </c>
      <c r="D328">
        <v>1.0369999999999999</v>
      </c>
      <c r="E328">
        <v>2216.9</v>
      </c>
      <c r="F328" t="s">
        <v>21</v>
      </c>
      <c r="G328">
        <v>2269.8000000000002</v>
      </c>
      <c r="H328">
        <v>2429.4</v>
      </c>
      <c r="I328">
        <v>2587.3000000000002</v>
      </c>
      <c r="J328">
        <v>2744.2</v>
      </c>
      <c r="K328">
        <v>2900.2</v>
      </c>
      <c r="L328">
        <v>3024.6800000000003</v>
      </c>
      <c r="M328">
        <v>3055.8</v>
      </c>
      <c r="N328">
        <v>3148.86</v>
      </c>
      <c r="O328">
        <v>3210.9</v>
      </c>
      <c r="P328">
        <v>3272.82</v>
      </c>
      <c r="Q328">
        <v>3365.7000000000003</v>
      </c>
      <c r="R328">
        <v>3396.6600000000003</v>
      </c>
      <c r="S328">
        <v>3458.58</v>
      </c>
      <c r="T328">
        <v>3520.5</v>
      </c>
      <c r="U328">
        <v>3644.06</v>
      </c>
      <c r="V328">
        <v>3674.95</v>
      </c>
      <c r="W328">
        <v>3767.62</v>
      </c>
      <c r="X328">
        <v>3829.4</v>
      </c>
      <c r="Y328">
        <v>3891.12</v>
      </c>
      <c r="Z328">
        <v>3983.7</v>
      </c>
      <c r="AA328">
        <v>4014.56</v>
      </c>
      <c r="AB328">
        <v>4138</v>
      </c>
      <c r="AC328">
        <v>4292.2</v>
      </c>
      <c r="AD328">
        <v>4446.3999999999996</v>
      </c>
      <c r="AE328">
        <v>4600.5499999999993</v>
      </c>
      <c r="AF328">
        <v>4754.7</v>
      </c>
      <c r="AG328">
        <v>4908.75</v>
      </c>
      <c r="AH328">
        <v>5062.8</v>
      </c>
      <c r="AI328">
        <v>5216.8500000000004</v>
      </c>
      <c r="AJ328">
        <v>5370.9</v>
      </c>
      <c r="AK328">
        <v>5524.9</v>
      </c>
      <c r="AL328">
        <v>5678.9</v>
      </c>
      <c r="AS328">
        <v>2400</v>
      </c>
    </row>
    <row r="329" spans="1:45" x14ac:dyDescent="0.3">
      <c r="A329">
        <v>75</v>
      </c>
      <c r="B329">
        <v>91.79</v>
      </c>
      <c r="C329" t="s">
        <v>18</v>
      </c>
      <c r="D329">
        <v>384.37400000000002</v>
      </c>
      <c r="E329">
        <v>2496.6999999999998</v>
      </c>
      <c r="F329" t="s">
        <v>21</v>
      </c>
      <c r="G329">
        <v>2509.1999999999998</v>
      </c>
      <c r="H329">
        <v>2546.6999999999998</v>
      </c>
      <c r="I329">
        <v>2584.1999999999998</v>
      </c>
      <c r="J329">
        <v>2621.6</v>
      </c>
      <c r="K329">
        <v>2659</v>
      </c>
      <c r="L329">
        <v>2689.16</v>
      </c>
      <c r="M329">
        <v>2696.7</v>
      </c>
      <c r="N329">
        <v>2719.38</v>
      </c>
      <c r="O329">
        <v>2734.5</v>
      </c>
      <c r="P329">
        <v>2749.8</v>
      </c>
      <c r="Q329">
        <v>2772.75</v>
      </c>
      <c r="R329">
        <v>2780.4</v>
      </c>
      <c r="S329">
        <v>2795.7</v>
      </c>
      <c r="T329">
        <v>2811</v>
      </c>
      <c r="U329">
        <v>2842.16</v>
      </c>
      <c r="V329">
        <v>2849.95</v>
      </c>
      <c r="W329">
        <v>2873.32</v>
      </c>
      <c r="X329">
        <v>2888.9</v>
      </c>
      <c r="Y329">
        <v>2904.76</v>
      </c>
      <c r="Z329">
        <v>2928.55</v>
      </c>
      <c r="AA329">
        <v>2936.48</v>
      </c>
      <c r="AB329">
        <v>2968.2</v>
      </c>
      <c r="AC329">
        <v>3008.7</v>
      </c>
      <c r="AD329">
        <v>3049.2</v>
      </c>
      <c r="AE329">
        <v>3090.5</v>
      </c>
      <c r="AF329">
        <v>3131.8</v>
      </c>
      <c r="AG329">
        <v>3173.95</v>
      </c>
      <c r="AH329">
        <v>3216.1</v>
      </c>
      <c r="AI329">
        <v>3259.1499999999996</v>
      </c>
      <c r="AJ329">
        <v>3302.2</v>
      </c>
      <c r="AK329">
        <v>3346.05</v>
      </c>
      <c r="AL329">
        <v>3389.9</v>
      </c>
      <c r="AS329">
        <v>2500</v>
      </c>
    </row>
    <row r="330" spans="1:45" x14ac:dyDescent="0.3">
      <c r="A330">
        <v>75</v>
      </c>
      <c r="B330">
        <v>91.79</v>
      </c>
      <c r="C330" t="s">
        <v>19</v>
      </c>
      <c r="D330">
        <v>384.45100000000002</v>
      </c>
      <c r="E330">
        <v>2663</v>
      </c>
      <c r="F330" t="s">
        <v>21</v>
      </c>
      <c r="G330">
        <v>2679.4</v>
      </c>
      <c r="H330">
        <v>2728.9</v>
      </c>
      <c r="I330">
        <v>2778.2</v>
      </c>
      <c r="J330">
        <v>2827.4</v>
      </c>
      <c r="K330">
        <v>2876.6</v>
      </c>
      <c r="L330">
        <v>2915.96</v>
      </c>
      <c r="M330">
        <v>2925.8</v>
      </c>
      <c r="N330">
        <v>2955.5</v>
      </c>
      <c r="O330">
        <v>2975.3</v>
      </c>
      <c r="P330">
        <v>2995.26</v>
      </c>
      <c r="Q330">
        <v>3025.2000000000003</v>
      </c>
      <c r="R330">
        <v>3035.1800000000003</v>
      </c>
      <c r="S330">
        <v>3055.1400000000003</v>
      </c>
      <c r="T330">
        <v>3075.1</v>
      </c>
      <c r="U330">
        <v>3115.5</v>
      </c>
      <c r="V330">
        <v>3125.6</v>
      </c>
      <c r="W330">
        <v>3155.9</v>
      </c>
      <c r="X330">
        <v>3176.1</v>
      </c>
      <c r="Y330">
        <v>3196.6</v>
      </c>
      <c r="Z330">
        <v>3227.35</v>
      </c>
      <c r="AA330">
        <v>3237.6</v>
      </c>
      <c r="AB330">
        <v>3278.6</v>
      </c>
      <c r="AC330">
        <v>3330.6499999999996</v>
      </c>
      <c r="AD330">
        <v>3382.7</v>
      </c>
      <c r="AE330">
        <v>3435.55</v>
      </c>
      <c r="AF330">
        <v>3488.4</v>
      </c>
      <c r="AG330">
        <v>3542.1000000000004</v>
      </c>
      <c r="AH330">
        <v>3595.8</v>
      </c>
      <c r="AI330">
        <v>3650.4</v>
      </c>
      <c r="AJ330">
        <v>3705</v>
      </c>
      <c r="AK330">
        <v>3760.45</v>
      </c>
      <c r="AL330">
        <v>3815.9</v>
      </c>
      <c r="AS330">
        <v>2600</v>
      </c>
    </row>
    <row r="331" spans="1:45" x14ac:dyDescent="0.3">
      <c r="A331">
        <v>75</v>
      </c>
      <c r="B331">
        <v>91.79</v>
      </c>
      <c r="C331" t="s">
        <v>20</v>
      </c>
      <c r="D331">
        <v>1.2131000000000001</v>
      </c>
      <c r="E331">
        <v>7.4569999999999999</v>
      </c>
      <c r="F331" t="s">
        <v>21</v>
      </c>
      <c r="G331">
        <v>7.5014000000000003</v>
      </c>
      <c r="H331">
        <v>7.63</v>
      </c>
      <c r="I331">
        <v>7.75</v>
      </c>
      <c r="J331">
        <v>7.8628999999999998</v>
      </c>
      <c r="K331">
        <v>7.9696999999999996</v>
      </c>
      <c r="L331">
        <v>8.0508999999999986</v>
      </c>
      <c r="M331">
        <v>8.0711999999999993</v>
      </c>
      <c r="N331">
        <v>8.1293400000000009</v>
      </c>
      <c r="O331">
        <v>8.1681000000000008</v>
      </c>
      <c r="P331">
        <v>8.2045200000000005</v>
      </c>
      <c r="Q331">
        <v>8.25915</v>
      </c>
      <c r="R331">
        <v>8.2773599999999998</v>
      </c>
      <c r="S331">
        <v>8.3137799999999995</v>
      </c>
      <c r="T331">
        <v>8.3501999999999992</v>
      </c>
      <c r="U331">
        <v>8.4177599999999995</v>
      </c>
      <c r="V331">
        <v>8.4346499999999995</v>
      </c>
      <c r="W331">
        <v>8.4853199999999998</v>
      </c>
      <c r="X331">
        <v>8.5190999999999999</v>
      </c>
      <c r="Y331">
        <v>8.5507399999999993</v>
      </c>
      <c r="Z331">
        <v>8.5982000000000003</v>
      </c>
      <c r="AA331">
        <v>8.61402</v>
      </c>
      <c r="AB331">
        <v>8.6773000000000007</v>
      </c>
      <c r="AC331">
        <v>8.7518999999999991</v>
      </c>
      <c r="AD331">
        <v>8.8264999999999993</v>
      </c>
      <c r="AE331">
        <v>8.8971499999999999</v>
      </c>
      <c r="AF331">
        <v>8.9678000000000004</v>
      </c>
      <c r="AG331">
        <v>9.0351499999999998</v>
      </c>
      <c r="AH331">
        <v>9.1024999999999991</v>
      </c>
      <c r="AI331">
        <v>9.1668500000000002</v>
      </c>
      <c r="AJ331">
        <v>9.2311999999999994</v>
      </c>
      <c r="AK331">
        <v>9.2928999999999995</v>
      </c>
      <c r="AL331">
        <v>9.3545999999999996</v>
      </c>
      <c r="AS331">
        <v>2700</v>
      </c>
    </row>
    <row r="332" spans="1:45" x14ac:dyDescent="0.3">
      <c r="A332">
        <v>100</v>
      </c>
      <c r="B332">
        <v>99.63</v>
      </c>
      <c r="C332" t="s">
        <v>0</v>
      </c>
      <c r="D332">
        <v>1.0429999999999999</v>
      </c>
      <c r="E332">
        <v>1693.7</v>
      </c>
      <c r="F332" t="s">
        <v>21</v>
      </c>
      <c r="G332">
        <v>1695.5</v>
      </c>
      <c r="H332">
        <v>1816.7</v>
      </c>
      <c r="I332">
        <v>1936.3</v>
      </c>
      <c r="J332">
        <v>2054.6999999999998</v>
      </c>
      <c r="K332">
        <v>2172.3000000000002</v>
      </c>
      <c r="L332">
        <v>2265.98</v>
      </c>
      <c r="M332">
        <v>2289.4</v>
      </c>
      <c r="N332">
        <v>2359.42</v>
      </c>
      <c r="O332">
        <v>2406.1</v>
      </c>
      <c r="P332">
        <v>2452.62</v>
      </c>
      <c r="Q332">
        <v>2522.3999999999996</v>
      </c>
      <c r="R332">
        <v>2545.66</v>
      </c>
      <c r="S332">
        <v>2592.1799999999998</v>
      </c>
      <c r="T332">
        <v>2638.7</v>
      </c>
      <c r="U332">
        <v>2731.54</v>
      </c>
      <c r="V332">
        <v>2754.75</v>
      </c>
      <c r="W332">
        <v>2824.38</v>
      </c>
      <c r="X332">
        <v>2870.8</v>
      </c>
      <c r="Y332">
        <v>2917.1400000000003</v>
      </c>
      <c r="Z332">
        <v>2986.65</v>
      </c>
      <c r="AA332">
        <v>3009.82</v>
      </c>
      <c r="AB332">
        <v>3102.5</v>
      </c>
      <c r="AC332">
        <v>3218.25</v>
      </c>
      <c r="AD332">
        <v>3334</v>
      </c>
      <c r="AE332">
        <v>3449.65</v>
      </c>
      <c r="AF332">
        <v>3565.3</v>
      </c>
      <c r="AG332">
        <v>3680.9</v>
      </c>
      <c r="AH332">
        <v>3796.5</v>
      </c>
      <c r="AI332">
        <v>3912.1</v>
      </c>
      <c r="AJ332">
        <v>4027.7</v>
      </c>
      <c r="AK332">
        <v>4143.25</v>
      </c>
      <c r="AL332">
        <v>4258.8</v>
      </c>
      <c r="AS332">
        <v>2800</v>
      </c>
    </row>
    <row r="333" spans="1:45" x14ac:dyDescent="0.3">
      <c r="A333">
        <v>100</v>
      </c>
      <c r="B333">
        <v>99.63</v>
      </c>
      <c r="C333" t="s">
        <v>18</v>
      </c>
      <c r="D333">
        <v>417.40600000000001</v>
      </c>
      <c r="E333">
        <v>2506.1</v>
      </c>
      <c r="F333" t="s">
        <v>21</v>
      </c>
      <c r="G333">
        <v>2506.6</v>
      </c>
      <c r="H333">
        <v>2544.8000000000002</v>
      </c>
      <c r="I333">
        <v>2582.6999999999998</v>
      </c>
      <c r="J333">
        <v>2620.4</v>
      </c>
      <c r="K333">
        <v>2658.1</v>
      </c>
      <c r="L333">
        <v>2688.34</v>
      </c>
      <c r="M333">
        <v>2695.9</v>
      </c>
      <c r="N333">
        <v>2718.7000000000003</v>
      </c>
      <c r="O333">
        <v>2733.9</v>
      </c>
      <c r="P333">
        <v>2749.2400000000002</v>
      </c>
      <c r="Q333">
        <v>2772.25</v>
      </c>
      <c r="R333">
        <v>2779.92</v>
      </c>
      <c r="S333">
        <v>2795.26</v>
      </c>
      <c r="T333">
        <v>2810.6</v>
      </c>
      <c r="U333">
        <v>2841.7999999999997</v>
      </c>
      <c r="V333">
        <v>2849.6</v>
      </c>
      <c r="W333">
        <v>2873</v>
      </c>
      <c r="X333">
        <v>2888.6</v>
      </c>
      <c r="Y333">
        <v>2904.48</v>
      </c>
      <c r="Z333">
        <v>2928.3</v>
      </c>
      <c r="AA333">
        <v>2936.2400000000002</v>
      </c>
      <c r="AB333">
        <v>2968</v>
      </c>
      <c r="AC333">
        <v>3008.5</v>
      </c>
      <c r="AD333">
        <v>3049</v>
      </c>
      <c r="AE333">
        <v>3090.3</v>
      </c>
      <c r="AF333">
        <v>3131.6</v>
      </c>
      <c r="AG333">
        <v>3173.8</v>
      </c>
      <c r="AH333">
        <v>3216</v>
      </c>
      <c r="AI333">
        <v>3259</v>
      </c>
      <c r="AJ333">
        <v>3302</v>
      </c>
      <c r="AK333">
        <v>3345.9</v>
      </c>
      <c r="AL333">
        <v>3389.8</v>
      </c>
      <c r="AS333">
        <v>2900</v>
      </c>
    </row>
    <row r="334" spans="1:45" x14ac:dyDescent="0.3">
      <c r="A334">
        <v>100</v>
      </c>
      <c r="B334">
        <v>99.63</v>
      </c>
      <c r="C334" t="s">
        <v>19</v>
      </c>
      <c r="D334">
        <v>417.51100000000002</v>
      </c>
      <c r="E334">
        <v>2675.4</v>
      </c>
      <c r="F334" t="s">
        <v>21</v>
      </c>
      <c r="G334">
        <v>2676.2</v>
      </c>
      <c r="H334">
        <v>2726.5</v>
      </c>
      <c r="I334">
        <v>2776.3</v>
      </c>
      <c r="J334">
        <v>2825.9</v>
      </c>
      <c r="K334">
        <v>2875.4</v>
      </c>
      <c r="L334">
        <v>2915</v>
      </c>
      <c r="M334">
        <v>2924.9</v>
      </c>
      <c r="N334">
        <v>2954.66</v>
      </c>
      <c r="O334">
        <v>2974.5</v>
      </c>
      <c r="P334">
        <v>2994.5</v>
      </c>
      <c r="Q334">
        <v>3024.5</v>
      </c>
      <c r="R334">
        <v>3034.5</v>
      </c>
      <c r="S334">
        <v>3054.5</v>
      </c>
      <c r="T334">
        <v>3074.5</v>
      </c>
      <c r="U334">
        <v>3114.94</v>
      </c>
      <c r="V334">
        <v>3125.05</v>
      </c>
      <c r="W334">
        <v>3155.38</v>
      </c>
      <c r="X334">
        <v>3175.6</v>
      </c>
      <c r="Y334">
        <v>3196.12</v>
      </c>
      <c r="Z334">
        <v>3226.8999999999996</v>
      </c>
      <c r="AA334">
        <v>3237.16</v>
      </c>
      <c r="AB334">
        <v>3278.2</v>
      </c>
      <c r="AC334">
        <v>3330.3</v>
      </c>
      <c r="AD334">
        <v>3382.4</v>
      </c>
      <c r="AE334">
        <v>3435.25</v>
      </c>
      <c r="AF334">
        <v>3488.1</v>
      </c>
      <c r="AG334">
        <v>3541.85</v>
      </c>
      <c r="AH334">
        <v>3595.6</v>
      </c>
      <c r="AI334">
        <v>3650.2</v>
      </c>
      <c r="AJ334">
        <v>3704.8</v>
      </c>
      <c r="AK334">
        <v>3760.25</v>
      </c>
      <c r="AL334">
        <v>3815.7</v>
      </c>
      <c r="AS334">
        <v>3000</v>
      </c>
    </row>
    <row r="335" spans="1:45" x14ac:dyDescent="0.3">
      <c r="A335">
        <v>100</v>
      </c>
      <c r="B335">
        <v>99.63</v>
      </c>
      <c r="C335" t="s">
        <v>20</v>
      </c>
      <c r="D335">
        <v>1.3027</v>
      </c>
      <c r="E335">
        <v>7.3597999999999999</v>
      </c>
      <c r="F335" t="s">
        <v>21</v>
      </c>
      <c r="G335">
        <v>7.3617999999999997</v>
      </c>
      <c r="H335">
        <v>7.4923000000000002</v>
      </c>
      <c r="I335">
        <v>7.6136999999999997</v>
      </c>
      <c r="J335">
        <v>7.7275</v>
      </c>
      <c r="K335">
        <v>7.8349000000000002</v>
      </c>
      <c r="L335">
        <v>7.9165000000000001</v>
      </c>
      <c r="M335">
        <v>7.9368999999999996</v>
      </c>
      <c r="N335">
        <v>7.9952800000000002</v>
      </c>
      <c r="O335">
        <v>8.0342000000000002</v>
      </c>
      <c r="P335">
        <v>8.0706799999999994</v>
      </c>
      <c r="Q335">
        <v>8.1253999999999991</v>
      </c>
      <c r="R335">
        <v>8.1436399999999995</v>
      </c>
      <c r="S335">
        <v>8.1801199999999987</v>
      </c>
      <c r="T335">
        <v>8.2165999999999997</v>
      </c>
      <c r="U335">
        <v>8.284279999999999</v>
      </c>
      <c r="V335">
        <v>8.3011999999999997</v>
      </c>
      <c r="W335">
        <v>8.3519600000000001</v>
      </c>
      <c r="X335">
        <v>8.3857999999999997</v>
      </c>
      <c r="Y335">
        <v>8.4174799999999994</v>
      </c>
      <c r="Z335">
        <v>8.4649999999999999</v>
      </c>
      <c r="AA335">
        <v>8.4808400000000006</v>
      </c>
      <c r="AB335">
        <v>8.5442</v>
      </c>
      <c r="AC335">
        <v>8.6188000000000002</v>
      </c>
      <c r="AD335">
        <v>8.6934000000000005</v>
      </c>
      <c r="AE335">
        <v>8.7640999999999991</v>
      </c>
      <c r="AF335">
        <v>8.8347999999999995</v>
      </c>
      <c r="AG335">
        <v>8.9021499999999989</v>
      </c>
      <c r="AH335">
        <v>8.9695</v>
      </c>
      <c r="AI335">
        <v>9.033850000000001</v>
      </c>
      <c r="AJ335">
        <v>9.0982000000000003</v>
      </c>
      <c r="AK335">
        <v>9.1599500000000003</v>
      </c>
      <c r="AL335">
        <v>9.2217000000000002</v>
      </c>
      <c r="AS335">
        <v>3100</v>
      </c>
    </row>
    <row r="336" spans="1:45" x14ac:dyDescent="0.3">
      <c r="A336">
        <v>101.325</v>
      </c>
      <c r="B336">
        <v>100</v>
      </c>
      <c r="C336" t="s">
        <v>0</v>
      </c>
      <c r="D336">
        <v>1.044</v>
      </c>
      <c r="E336">
        <v>1673</v>
      </c>
      <c r="F336" t="s">
        <v>21</v>
      </c>
      <c r="G336">
        <v>1673</v>
      </c>
      <c r="H336">
        <v>1792.7</v>
      </c>
      <c r="I336">
        <v>1910.7</v>
      </c>
      <c r="J336">
        <v>2027.7</v>
      </c>
      <c r="K336">
        <v>2143.8000000000002</v>
      </c>
      <c r="L336">
        <v>2236.2000000000003</v>
      </c>
      <c r="M336">
        <v>2259.3000000000002</v>
      </c>
      <c r="N336">
        <v>2328.42</v>
      </c>
      <c r="O336">
        <v>2374.5</v>
      </c>
      <c r="P336">
        <v>2420.44</v>
      </c>
      <c r="Q336">
        <v>2489.35</v>
      </c>
      <c r="R336">
        <v>2512.3199999999997</v>
      </c>
      <c r="S336">
        <v>2558.2599999999998</v>
      </c>
      <c r="T336">
        <v>2604.1999999999998</v>
      </c>
      <c r="U336">
        <v>2695.7999999999997</v>
      </c>
      <c r="V336">
        <v>2718.7</v>
      </c>
      <c r="W336">
        <v>2787.3999999999996</v>
      </c>
      <c r="X336">
        <v>2833.2</v>
      </c>
      <c r="Y336">
        <v>2878.94</v>
      </c>
      <c r="Z336">
        <v>2947.55</v>
      </c>
      <c r="AA336">
        <v>2970.42</v>
      </c>
      <c r="AB336">
        <v>3061.9</v>
      </c>
      <c r="AC336">
        <v>3176.1</v>
      </c>
      <c r="AD336">
        <v>3290.3</v>
      </c>
      <c r="AE336">
        <v>3404.5</v>
      </c>
      <c r="AF336">
        <v>3518.7</v>
      </c>
      <c r="AG336">
        <v>3632.8</v>
      </c>
      <c r="AH336">
        <v>3746.9</v>
      </c>
      <c r="AI336">
        <v>3860.9500000000003</v>
      </c>
      <c r="AJ336">
        <v>3975</v>
      </c>
      <c r="AK336">
        <v>4089.05</v>
      </c>
      <c r="AL336">
        <v>4203.1000000000004</v>
      </c>
      <c r="AS336">
        <v>3200</v>
      </c>
    </row>
    <row r="337" spans="1:45" x14ac:dyDescent="0.3">
      <c r="A337">
        <v>101.325</v>
      </c>
      <c r="B337">
        <v>100</v>
      </c>
      <c r="C337" t="s">
        <v>18</v>
      </c>
      <c r="D337">
        <v>418.959</v>
      </c>
      <c r="E337">
        <v>2506.5</v>
      </c>
      <c r="F337" t="s">
        <v>21</v>
      </c>
      <c r="G337">
        <v>2506.5</v>
      </c>
      <c r="H337">
        <v>2544.6999999999998</v>
      </c>
      <c r="I337">
        <v>2582.6</v>
      </c>
      <c r="J337">
        <v>2620.4</v>
      </c>
      <c r="K337">
        <v>2658.1</v>
      </c>
      <c r="L337">
        <v>2688.34</v>
      </c>
      <c r="M337">
        <v>2695.9</v>
      </c>
      <c r="N337">
        <v>2718.7000000000003</v>
      </c>
      <c r="O337">
        <v>2733.9</v>
      </c>
      <c r="P337">
        <v>2749.2400000000002</v>
      </c>
      <c r="Q337">
        <v>2772.25</v>
      </c>
      <c r="R337">
        <v>2779.92</v>
      </c>
      <c r="S337">
        <v>2795.26</v>
      </c>
      <c r="T337">
        <v>2810.6</v>
      </c>
      <c r="U337">
        <v>2841.7599999999998</v>
      </c>
      <c r="V337">
        <v>2849.5499999999997</v>
      </c>
      <c r="W337">
        <v>2872.92</v>
      </c>
      <c r="X337">
        <v>2888.5</v>
      </c>
      <c r="Y337">
        <v>2904.4</v>
      </c>
      <c r="Z337">
        <v>2928.25</v>
      </c>
      <c r="AA337">
        <v>2936.2</v>
      </c>
      <c r="AB337">
        <v>2968</v>
      </c>
      <c r="AC337">
        <v>3008.45</v>
      </c>
      <c r="AD337">
        <v>3048.9</v>
      </c>
      <c r="AE337">
        <v>3090.25</v>
      </c>
      <c r="AF337">
        <v>3131.6</v>
      </c>
      <c r="AG337">
        <v>3173.75</v>
      </c>
      <c r="AH337">
        <v>3215.9</v>
      </c>
      <c r="AI337">
        <v>3258.95</v>
      </c>
      <c r="AJ337">
        <v>3302</v>
      </c>
      <c r="AK337">
        <v>3345.9</v>
      </c>
      <c r="AL337">
        <v>3389.8</v>
      </c>
      <c r="AS337">
        <v>3300</v>
      </c>
    </row>
    <row r="338" spans="1:45" x14ac:dyDescent="0.3">
      <c r="A338">
        <v>101.325</v>
      </c>
      <c r="B338">
        <v>100</v>
      </c>
      <c r="C338" t="s">
        <v>19</v>
      </c>
      <c r="D338">
        <v>419.06400000000002</v>
      </c>
      <c r="E338">
        <v>2676</v>
      </c>
      <c r="F338" t="s">
        <v>21</v>
      </c>
      <c r="G338">
        <v>2676</v>
      </c>
      <c r="H338">
        <v>2726.4</v>
      </c>
      <c r="I338">
        <v>2776.2</v>
      </c>
      <c r="J338">
        <v>2825.8</v>
      </c>
      <c r="K338">
        <v>2875.3</v>
      </c>
      <c r="L338">
        <v>2914.9</v>
      </c>
      <c r="M338">
        <v>2924.8</v>
      </c>
      <c r="N338">
        <v>2954.62</v>
      </c>
      <c r="O338">
        <v>2974.5</v>
      </c>
      <c r="P338">
        <v>2994.48</v>
      </c>
      <c r="Q338">
        <v>3024.45</v>
      </c>
      <c r="R338">
        <v>3034.44</v>
      </c>
      <c r="S338">
        <v>3054.42</v>
      </c>
      <c r="T338">
        <v>3074.4</v>
      </c>
      <c r="U338">
        <v>3114.88</v>
      </c>
      <c r="V338">
        <v>3125</v>
      </c>
      <c r="W338">
        <v>3155.36</v>
      </c>
      <c r="X338">
        <v>3175.6</v>
      </c>
      <c r="Y338">
        <v>3196.12</v>
      </c>
      <c r="Z338">
        <v>3226.8999999999996</v>
      </c>
      <c r="AA338">
        <v>3237.16</v>
      </c>
      <c r="AB338">
        <v>3278.2</v>
      </c>
      <c r="AC338">
        <v>3330.25</v>
      </c>
      <c r="AD338">
        <v>3382.3</v>
      </c>
      <c r="AE338">
        <v>3435.2</v>
      </c>
      <c r="AF338">
        <v>3488.1</v>
      </c>
      <c r="AG338">
        <v>3541.85</v>
      </c>
      <c r="AH338">
        <v>3595.6</v>
      </c>
      <c r="AI338">
        <v>3650.2</v>
      </c>
      <c r="AJ338">
        <v>3704.8</v>
      </c>
      <c r="AK338">
        <v>3760.25</v>
      </c>
      <c r="AL338">
        <v>3815.7</v>
      </c>
      <c r="AS338">
        <v>3400</v>
      </c>
    </row>
    <row r="339" spans="1:45" x14ac:dyDescent="0.3">
      <c r="A339">
        <v>101.325</v>
      </c>
      <c r="B339">
        <v>100</v>
      </c>
      <c r="C339" t="s">
        <v>20</v>
      </c>
      <c r="D339">
        <v>1.3069</v>
      </c>
      <c r="E339">
        <v>7.3554000000000004</v>
      </c>
      <c r="F339" t="s">
        <v>21</v>
      </c>
      <c r="G339">
        <v>7.3554000000000004</v>
      </c>
      <c r="H339">
        <v>7.4859999999999998</v>
      </c>
      <c r="I339">
        <v>7.6074999999999999</v>
      </c>
      <c r="J339">
        <v>7.7213000000000003</v>
      </c>
      <c r="K339">
        <v>7.8288000000000002</v>
      </c>
      <c r="L339">
        <v>7.9104000000000001</v>
      </c>
      <c r="M339">
        <v>7.9307999999999996</v>
      </c>
      <c r="N339">
        <v>7.9891199999999998</v>
      </c>
      <c r="O339">
        <v>8.0280000000000005</v>
      </c>
      <c r="P339">
        <v>8.0645000000000007</v>
      </c>
      <c r="Q339">
        <v>8.119250000000001</v>
      </c>
      <c r="R339">
        <v>8.1375000000000011</v>
      </c>
      <c r="S339">
        <v>8.1739999999999995</v>
      </c>
      <c r="T339">
        <v>8.2104999999999997</v>
      </c>
      <c r="U339">
        <v>8.278179999999999</v>
      </c>
      <c r="V339">
        <v>8.2950999999999997</v>
      </c>
      <c r="W339">
        <v>8.3458600000000001</v>
      </c>
      <c r="X339">
        <v>8.3796999999999997</v>
      </c>
      <c r="Y339">
        <v>8.4113799999999994</v>
      </c>
      <c r="Z339">
        <v>8.4588999999999999</v>
      </c>
      <c r="AA339">
        <v>8.4747400000000006</v>
      </c>
      <c r="AB339">
        <v>8.5381</v>
      </c>
      <c r="AC339">
        <v>8.6127000000000002</v>
      </c>
      <c r="AD339">
        <v>8.6873000000000005</v>
      </c>
      <c r="AE339">
        <v>8.7579999999999991</v>
      </c>
      <c r="AF339">
        <v>8.8286999999999995</v>
      </c>
      <c r="AG339">
        <v>8.8960499999999989</v>
      </c>
      <c r="AH339">
        <v>8.9634</v>
      </c>
      <c r="AI339">
        <v>9.0277999999999992</v>
      </c>
      <c r="AJ339">
        <v>9.0922000000000001</v>
      </c>
      <c r="AK339">
        <v>9.1539000000000001</v>
      </c>
      <c r="AL339">
        <v>9.2156000000000002</v>
      </c>
      <c r="AS339">
        <v>3500</v>
      </c>
    </row>
    <row r="340" spans="1:45" x14ac:dyDescent="0.3">
      <c r="A340">
        <v>125</v>
      </c>
      <c r="B340">
        <v>105.99</v>
      </c>
      <c r="C340" t="s">
        <v>0</v>
      </c>
      <c r="D340">
        <v>1.0489999999999999</v>
      </c>
      <c r="E340">
        <v>1374.6</v>
      </c>
      <c r="F340" t="s">
        <v>21</v>
      </c>
      <c r="G340" t="s">
        <v>21</v>
      </c>
      <c r="H340">
        <v>1449.1</v>
      </c>
      <c r="I340">
        <v>1545.6</v>
      </c>
      <c r="J340">
        <v>1641</v>
      </c>
      <c r="K340">
        <v>1735.6</v>
      </c>
      <c r="L340">
        <v>1810.8</v>
      </c>
      <c r="M340">
        <v>1829.6</v>
      </c>
      <c r="N340">
        <v>1885.76</v>
      </c>
      <c r="O340">
        <v>1923.2</v>
      </c>
      <c r="P340">
        <v>1960.5</v>
      </c>
      <c r="Q340">
        <v>2016.4499999999998</v>
      </c>
      <c r="R340">
        <v>2035.1</v>
      </c>
      <c r="S340">
        <v>2072.3999999999996</v>
      </c>
      <c r="T340">
        <v>2109.6999999999998</v>
      </c>
      <c r="U340">
        <v>2184.06</v>
      </c>
      <c r="V340">
        <v>2202.65</v>
      </c>
      <c r="W340">
        <v>2258.42</v>
      </c>
      <c r="X340">
        <v>2295.6</v>
      </c>
      <c r="Y340">
        <v>2332.7199999999998</v>
      </c>
      <c r="Z340">
        <v>2388.3999999999996</v>
      </c>
      <c r="AA340">
        <v>2406.9599999999996</v>
      </c>
      <c r="AB340">
        <v>2481.1999999999998</v>
      </c>
      <c r="AC340">
        <v>2573.85</v>
      </c>
      <c r="AD340">
        <v>2666.5</v>
      </c>
      <c r="AE340">
        <v>2759.1</v>
      </c>
      <c r="AF340">
        <v>2851.7</v>
      </c>
      <c r="AG340">
        <v>2944.25</v>
      </c>
      <c r="AH340">
        <v>3036.8</v>
      </c>
      <c r="AI340">
        <v>3129.3</v>
      </c>
      <c r="AJ340">
        <v>3221.8</v>
      </c>
      <c r="AK340">
        <v>3314.25</v>
      </c>
      <c r="AL340">
        <v>3406.7</v>
      </c>
      <c r="AS340">
        <v>3600</v>
      </c>
    </row>
    <row r="341" spans="1:45" x14ac:dyDescent="0.3">
      <c r="A341">
        <v>125</v>
      </c>
      <c r="B341">
        <v>105.99</v>
      </c>
      <c r="C341" t="s">
        <v>18</v>
      </c>
      <c r="D341">
        <v>444.22399999999999</v>
      </c>
      <c r="E341">
        <v>2513.4</v>
      </c>
      <c r="F341" t="s">
        <v>21</v>
      </c>
      <c r="G341" t="s">
        <v>21</v>
      </c>
      <c r="H341">
        <v>2542.9</v>
      </c>
      <c r="I341">
        <v>2581.1999999999998</v>
      </c>
      <c r="J341">
        <v>2619.3000000000002</v>
      </c>
      <c r="K341">
        <v>2657.2</v>
      </c>
      <c r="L341">
        <v>2687.6</v>
      </c>
      <c r="M341">
        <v>2695.2</v>
      </c>
      <c r="N341">
        <v>2718.06</v>
      </c>
      <c r="O341">
        <v>2733.3</v>
      </c>
      <c r="P341">
        <v>2748.6800000000003</v>
      </c>
      <c r="Q341">
        <v>2771.75</v>
      </c>
      <c r="R341">
        <v>2779.44</v>
      </c>
      <c r="S341">
        <v>2794.8199999999997</v>
      </c>
      <c r="T341">
        <v>2810.2</v>
      </c>
      <c r="U341">
        <v>2841.3999999999996</v>
      </c>
      <c r="V341">
        <v>2849.2</v>
      </c>
      <c r="W341">
        <v>2872.6</v>
      </c>
      <c r="X341">
        <v>2888.2</v>
      </c>
      <c r="Y341">
        <v>2904.1</v>
      </c>
      <c r="Z341">
        <v>2927.95</v>
      </c>
      <c r="AA341">
        <v>2935.8999999999996</v>
      </c>
      <c r="AB341">
        <v>2967.7</v>
      </c>
      <c r="AC341">
        <v>3008.2</v>
      </c>
      <c r="AD341">
        <v>3048.7</v>
      </c>
      <c r="AE341">
        <v>3090.05</v>
      </c>
      <c r="AF341">
        <v>3131.4</v>
      </c>
      <c r="AG341">
        <v>3173.6000000000004</v>
      </c>
      <c r="AH341">
        <v>3215.8</v>
      </c>
      <c r="AI341">
        <v>3258.8500000000004</v>
      </c>
      <c r="AJ341">
        <v>3301.9</v>
      </c>
      <c r="AK341">
        <v>3345.8</v>
      </c>
      <c r="AL341">
        <v>3389.7</v>
      </c>
      <c r="AS341">
        <v>3700</v>
      </c>
    </row>
    <row r="342" spans="1:45" x14ac:dyDescent="0.3">
      <c r="A342">
        <v>125</v>
      </c>
      <c r="B342">
        <v>105.99</v>
      </c>
      <c r="C342" t="s">
        <v>19</v>
      </c>
      <c r="D342">
        <v>444.35599999999999</v>
      </c>
      <c r="E342">
        <v>2685.2</v>
      </c>
      <c r="F342" t="s">
        <v>21</v>
      </c>
      <c r="G342" t="s">
        <v>21</v>
      </c>
      <c r="H342">
        <v>2724</v>
      </c>
      <c r="I342">
        <v>2774.4</v>
      </c>
      <c r="J342">
        <v>2824.4</v>
      </c>
      <c r="K342">
        <v>2874.2</v>
      </c>
      <c r="L342">
        <v>2913.96</v>
      </c>
      <c r="M342">
        <v>2923.9</v>
      </c>
      <c r="N342">
        <v>2953.7799999999997</v>
      </c>
      <c r="O342">
        <v>2973.7</v>
      </c>
      <c r="P342">
        <v>2993.74</v>
      </c>
      <c r="Q342">
        <v>3023.7999999999997</v>
      </c>
      <c r="R342">
        <v>3033.8199999999997</v>
      </c>
      <c r="S342">
        <v>3053.8599999999997</v>
      </c>
      <c r="T342">
        <v>3073.9</v>
      </c>
      <c r="U342">
        <v>3114.42</v>
      </c>
      <c r="V342">
        <v>3124.55</v>
      </c>
      <c r="W342">
        <v>3154.94</v>
      </c>
      <c r="X342">
        <v>3175.2</v>
      </c>
      <c r="Y342">
        <v>3195.72</v>
      </c>
      <c r="Z342">
        <v>3226.5</v>
      </c>
      <c r="AA342">
        <v>3236.76</v>
      </c>
      <c r="AB342">
        <v>3277.8</v>
      </c>
      <c r="AC342">
        <v>3329.9</v>
      </c>
      <c r="AD342">
        <v>3382</v>
      </c>
      <c r="AE342">
        <v>3434.95</v>
      </c>
      <c r="AF342">
        <v>3487.9</v>
      </c>
      <c r="AG342">
        <v>3541.65</v>
      </c>
      <c r="AH342">
        <v>3595.4</v>
      </c>
      <c r="AI342">
        <v>3650</v>
      </c>
      <c r="AJ342">
        <v>3704.6</v>
      </c>
      <c r="AK342">
        <v>3760.05</v>
      </c>
      <c r="AL342">
        <v>3815.5</v>
      </c>
      <c r="AS342">
        <v>3800</v>
      </c>
    </row>
    <row r="343" spans="1:45" x14ac:dyDescent="0.3">
      <c r="A343">
        <v>125</v>
      </c>
      <c r="B343">
        <v>105.99</v>
      </c>
      <c r="C343" t="s">
        <v>20</v>
      </c>
      <c r="D343">
        <v>1.3740000000000001</v>
      </c>
      <c r="E343">
        <v>7.2847</v>
      </c>
      <c r="F343" t="s">
        <v>21</v>
      </c>
      <c r="G343" t="s">
        <v>21</v>
      </c>
      <c r="H343">
        <v>7.3844000000000003</v>
      </c>
      <c r="I343">
        <v>7.5072000000000001</v>
      </c>
      <c r="J343">
        <v>7.6219000000000001</v>
      </c>
      <c r="K343">
        <v>7.73</v>
      </c>
      <c r="L343">
        <v>7.8119199999999998</v>
      </c>
      <c r="M343">
        <v>7.8323999999999998</v>
      </c>
      <c r="N343">
        <v>7.8909599999999998</v>
      </c>
      <c r="O343">
        <v>7.93</v>
      </c>
      <c r="P343">
        <v>7.9665799999999996</v>
      </c>
      <c r="Q343">
        <v>8.0214499999999997</v>
      </c>
      <c r="R343">
        <v>8.0397400000000001</v>
      </c>
      <c r="S343">
        <v>8.0763199999999991</v>
      </c>
      <c r="T343">
        <v>8.1128999999999998</v>
      </c>
      <c r="U343">
        <v>8.1806599999999996</v>
      </c>
      <c r="V343">
        <v>8.1975999999999996</v>
      </c>
      <c r="W343">
        <v>8.2484199999999994</v>
      </c>
      <c r="X343">
        <v>8.2822999999999993</v>
      </c>
      <c r="Y343">
        <v>8.3140000000000001</v>
      </c>
      <c r="Z343">
        <v>8.3615499999999994</v>
      </c>
      <c r="AA343">
        <v>8.3773999999999997</v>
      </c>
      <c r="AB343">
        <v>8.4407999999999994</v>
      </c>
      <c r="AC343">
        <v>8.5154499999999995</v>
      </c>
      <c r="AD343">
        <v>8.5900999999999996</v>
      </c>
      <c r="AE343">
        <v>8.6608499999999999</v>
      </c>
      <c r="AF343">
        <v>8.7316000000000003</v>
      </c>
      <c r="AG343">
        <v>8.7989500000000014</v>
      </c>
      <c r="AH343">
        <v>8.8663000000000007</v>
      </c>
      <c r="AI343">
        <v>8.9307000000000016</v>
      </c>
      <c r="AJ343">
        <v>8.9951000000000008</v>
      </c>
      <c r="AK343">
        <v>9.0568500000000007</v>
      </c>
      <c r="AL343">
        <v>9.1186000000000007</v>
      </c>
      <c r="AS343">
        <v>3900</v>
      </c>
    </row>
    <row r="344" spans="1:45" x14ac:dyDescent="0.3">
      <c r="A344">
        <v>150</v>
      </c>
      <c r="B344">
        <v>111.37</v>
      </c>
      <c r="C344" t="s">
        <v>0</v>
      </c>
      <c r="D344">
        <v>1.0529999999999999</v>
      </c>
      <c r="E344">
        <v>1159</v>
      </c>
      <c r="F344" t="s">
        <v>21</v>
      </c>
      <c r="G344" t="s">
        <v>21</v>
      </c>
      <c r="H344">
        <v>1204</v>
      </c>
      <c r="I344">
        <v>1285.2</v>
      </c>
      <c r="J344">
        <v>1365.2</v>
      </c>
      <c r="K344">
        <v>1444.4</v>
      </c>
      <c r="L344">
        <v>1507.28</v>
      </c>
      <c r="M344">
        <v>1523</v>
      </c>
      <c r="N344">
        <v>1569.98</v>
      </c>
      <c r="O344">
        <v>1601.3</v>
      </c>
      <c r="P344">
        <v>1632.44</v>
      </c>
      <c r="Q344">
        <v>1679.15</v>
      </c>
      <c r="R344">
        <v>1694.72</v>
      </c>
      <c r="S344">
        <v>1725.8600000000001</v>
      </c>
      <c r="T344">
        <v>1757</v>
      </c>
      <c r="U344">
        <v>1819.08</v>
      </c>
      <c r="V344">
        <v>1834.6</v>
      </c>
      <c r="W344">
        <v>1881.16</v>
      </c>
      <c r="X344">
        <v>1912.2</v>
      </c>
      <c r="Y344">
        <v>1943.14</v>
      </c>
      <c r="Z344">
        <v>1989.5500000000002</v>
      </c>
      <c r="AA344">
        <v>2005.0200000000002</v>
      </c>
      <c r="AB344">
        <v>2066.9</v>
      </c>
      <c r="AC344">
        <v>2144.1999999999998</v>
      </c>
      <c r="AD344">
        <v>2221.5</v>
      </c>
      <c r="AE344">
        <v>2298.6999999999998</v>
      </c>
      <c r="AF344">
        <v>2375.9</v>
      </c>
      <c r="AG344">
        <v>2453.0500000000002</v>
      </c>
      <c r="AH344">
        <v>2530.1999999999998</v>
      </c>
      <c r="AI344">
        <v>2607.35</v>
      </c>
      <c r="AJ344">
        <v>2684.5</v>
      </c>
      <c r="AK344">
        <v>2761.55</v>
      </c>
      <c r="AL344">
        <v>2838.6</v>
      </c>
      <c r="AS344">
        <v>4000</v>
      </c>
    </row>
    <row r="345" spans="1:45" x14ac:dyDescent="0.3">
      <c r="A345">
        <v>150</v>
      </c>
      <c r="B345">
        <v>111.37</v>
      </c>
      <c r="C345" t="s">
        <v>18</v>
      </c>
      <c r="D345">
        <v>466.96800000000002</v>
      </c>
      <c r="E345">
        <v>2519.5</v>
      </c>
      <c r="F345" t="s">
        <v>21</v>
      </c>
      <c r="G345" t="s">
        <v>21</v>
      </c>
      <c r="H345">
        <v>2540.9</v>
      </c>
      <c r="I345">
        <v>2579.6999999999998</v>
      </c>
      <c r="J345">
        <v>2618.1</v>
      </c>
      <c r="K345">
        <v>2656.3</v>
      </c>
      <c r="L345">
        <v>2686.78</v>
      </c>
      <c r="M345">
        <v>2694.4</v>
      </c>
      <c r="N345">
        <v>2717.38</v>
      </c>
      <c r="O345">
        <v>2732.7</v>
      </c>
      <c r="P345">
        <v>2748.1</v>
      </c>
      <c r="Q345">
        <v>2771.2</v>
      </c>
      <c r="R345">
        <v>2778.8999999999996</v>
      </c>
      <c r="S345">
        <v>2794.2999999999997</v>
      </c>
      <c r="T345">
        <v>2809.7</v>
      </c>
      <c r="U345">
        <v>2840.98</v>
      </c>
      <c r="V345">
        <v>2848.8</v>
      </c>
      <c r="W345">
        <v>2872.26</v>
      </c>
      <c r="X345">
        <v>2887.9</v>
      </c>
      <c r="Y345">
        <v>2903.8</v>
      </c>
      <c r="Z345">
        <v>2927.65</v>
      </c>
      <c r="AA345">
        <v>2935.6</v>
      </c>
      <c r="AB345">
        <v>2967.4</v>
      </c>
      <c r="AC345">
        <v>3007.95</v>
      </c>
      <c r="AD345">
        <v>3048.5</v>
      </c>
      <c r="AE345">
        <v>3089.85</v>
      </c>
      <c r="AF345">
        <v>3131.2</v>
      </c>
      <c r="AG345">
        <v>3173.3999999999996</v>
      </c>
      <c r="AH345">
        <v>3215.6</v>
      </c>
      <c r="AI345">
        <v>3258.6499999999996</v>
      </c>
      <c r="AJ345">
        <v>3301.7</v>
      </c>
      <c r="AK345">
        <v>3345.6</v>
      </c>
      <c r="AL345">
        <v>3389.5</v>
      </c>
      <c r="AS345">
        <v>4100</v>
      </c>
    </row>
    <row r="346" spans="1:45" x14ac:dyDescent="0.3">
      <c r="A346">
        <v>150</v>
      </c>
      <c r="B346">
        <v>111.37</v>
      </c>
      <c r="C346" t="s">
        <v>19</v>
      </c>
      <c r="D346">
        <v>467.12599999999998</v>
      </c>
      <c r="E346">
        <v>2693.4</v>
      </c>
      <c r="F346" t="s">
        <v>24</v>
      </c>
      <c r="G346" t="s">
        <v>21</v>
      </c>
      <c r="H346">
        <v>2721.5</v>
      </c>
      <c r="I346">
        <v>2772.5</v>
      </c>
      <c r="J346">
        <v>2822.9</v>
      </c>
      <c r="K346">
        <v>2872.9</v>
      </c>
      <c r="L346">
        <v>2912.9</v>
      </c>
      <c r="M346">
        <v>2922.9</v>
      </c>
      <c r="N346">
        <v>2952.9</v>
      </c>
      <c r="O346">
        <v>2972.9</v>
      </c>
      <c r="P346">
        <v>2992.98</v>
      </c>
      <c r="Q346">
        <v>3023.1</v>
      </c>
      <c r="R346">
        <v>3033.14</v>
      </c>
      <c r="S346">
        <v>3053.2200000000003</v>
      </c>
      <c r="T346">
        <v>3073.3</v>
      </c>
      <c r="U346">
        <v>3113.86</v>
      </c>
      <c r="V346">
        <v>3124</v>
      </c>
      <c r="W346">
        <v>3154.42</v>
      </c>
      <c r="X346">
        <v>3174.7</v>
      </c>
      <c r="Y346">
        <v>3195.2599999999998</v>
      </c>
      <c r="Z346">
        <v>3226.1</v>
      </c>
      <c r="AA346">
        <v>3236.38</v>
      </c>
      <c r="AB346">
        <v>3277.5</v>
      </c>
      <c r="AC346">
        <v>3329.6</v>
      </c>
      <c r="AD346">
        <v>3381.7</v>
      </c>
      <c r="AE346">
        <v>3434.6499999999996</v>
      </c>
      <c r="AF346">
        <v>3487.6</v>
      </c>
      <c r="AG346">
        <v>3541.35</v>
      </c>
      <c r="AH346">
        <v>3595.1</v>
      </c>
      <c r="AI346">
        <v>3649.75</v>
      </c>
      <c r="AJ346">
        <v>3704.4</v>
      </c>
      <c r="AK346">
        <v>3759.8500000000004</v>
      </c>
      <c r="AL346">
        <v>3815.3</v>
      </c>
      <c r="AS346">
        <v>4200</v>
      </c>
    </row>
    <row r="347" spans="1:45" x14ac:dyDescent="0.3">
      <c r="A347">
        <v>150</v>
      </c>
      <c r="B347">
        <v>111.37</v>
      </c>
      <c r="C347" t="s">
        <v>20</v>
      </c>
      <c r="D347">
        <v>1.4336</v>
      </c>
      <c r="E347">
        <v>7.2233999999999998</v>
      </c>
      <c r="F347" t="s">
        <v>24</v>
      </c>
      <c r="G347" t="s">
        <v>21</v>
      </c>
      <c r="H347">
        <v>7.2953000000000001</v>
      </c>
      <c r="I347">
        <v>7.4194000000000004</v>
      </c>
      <c r="J347">
        <v>7.5351999999999997</v>
      </c>
      <c r="K347">
        <v>7.6439000000000004</v>
      </c>
      <c r="L347">
        <v>7.7262200000000005</v>
      </c>
      <c r="M347">
        <v>7.7468000000000004</v>
      </c>
      <c r="N347">
        <v>7.8055399999999997</v>
      </c>
      <c r="O347">
        <v>7.8446999999999996</v>
      </c>
      <c r="P347">
        <v>7.8813599999999999</v>
      </c>
      <c r="Q347">
        <v>7.93635</v>
      </c>
      <c r="R347">
        <v>7.9546799999999998</v>
      </c>
      <c r="S347">
        <v>7.9913400000000001</v>
      </c>
      <c r="T347">
        <v>8.0280000000000005</v>
      </c>
      <c r="U347">
        <v>8.0958400000000008</v>
      </c>
      <c r="V347">
        <v>8.1128</v>
      </c>
      <c r="W347">
        <v>8.1636799999999994</v>
      </c>
      <c r="X347">
        <v>8.1975999999999996</v>
      </c>
      <c r="Y347">
        <v>8.2293199999999995</v>
      </c>
      <c r="Z347">
        <v>8.2768999999999995</v>
      </c>
      <c r="AA347">
        <v>8.2927599999999995</v>
      </c>
      <c r="AB347">
        <v>8.3561999999999994</v>
      </c>
      <c r="AC347">
        <v>8.4308999999999994</v>
      </c>
      <c r="AD347">
        <v>8.5055999999999994</v>
      </c>
      <c r="AE347">
        <v>8.5763999999999996</v>
      </c>
      <c r="AF347">
        <v>8.6471999999999998</v>
      </c>
      <c r="AG347">
        <v>8.7145499999999991</v>
      </c>
      <c r="AH347">
        <v>8.7819000000000003</v>
      </c>
      <c r="AI347">
        <v>8.846350000000001</v>
      </c>
      <c r="AJ347">
        <v>8.9108000000000001</v>
      </c>
      <c r="AK347">
        <v>8.97255</v>
      </c>
      <c r="AL347">
        <v>9.0343</v>
      </c>
      <c r="AS347">
        <v>4300</v>
      </c>
    </row>
    <row r="348" spans="1:45" x14ac:dyDescent="0.3">
      <c r="A348">
        <v>175</v>
      </c>
      <c r="B348">
        <v>116.06</v>
      </c>
      <c r="C348" t="s">
        <v>0</v>
      </c>
      <c r="D348">
        <v>1.0569999999999999</v>
      </c>
      <c r="E348">
        <v>1003.34</v>
      </c>
      <c r="F348" t="s">
        <v>24</v>
      </c>
      <c r="G348" t="s">
        <v>21</v>
      </c>
      <c r="H348">
        <v>1028.8</v>
      </c>
      <c r="I348">
        <v>1099.0999999999999</v>
      </c>
      <c r="J348">
        <v>1168.2</v>
      </c>
      <c r="K348">
        <v>1236.4000000000001</v>
      </c>
      <c r="L348">
        <v>1290.56</v>
      </c>
      <c r="M348">
        <v>1304.0999999999999</v>
      </c>
      <c r="N348">
        <v>1344.4199999999998</v>
      </c>
      <c r="O348">
        <v>1371.3</v>
      </c>
      <c r="P348">
        <v>1398.06</v>
      </c>
      <c r="Q348">
        <v>1438.1999999999998</v>
      </c>
      <c r="R348">
        <v>1451.58</v>
      </c>
      <c r="S348">
        <v>1478.34</v>
      </c>
      <c r="T348">
        <v>1505.1</v>
      </c>
      <c r="U348">
        <v>1558.3799999999999</v>
      </c>
      <c r="V348">
        <v>1571.6999999999998</v>
      </c>
      <c r="W348">
        <v>1611.6599999999999</v>
      </c>
      <c r="X348">
        <v>1638.3</v>
      </c>
      <c r="Y348">
        <v>1664.86</v>
      </c>
      <c r="Z348">
        <v>1704.6999999999998</v>
      </c>
      <c r="AA348">
        <v>1717.9799999999998</v>
      </c>
      <c r="AB348">
        <v>1771.1</v>
      </c>
      <c r="AC348">
        <v>1837.4</v>
      </c>
      <c r="AD348">
        <v>1903.7</v>
      </c>
      <c r="AE348">
        <v>1969.9</v>
      </c>
      <c r="AF348">
        <v>2036.1</v>
      </c>
      <c r="AG348">
        <v>2102.25</v>
      </c>
      <c r="AH348">
        <v>2168.4</v>
      </c>
      <c r="AI348">
        <v>2234.5500000000002</v>
      </c>
      <c r="AJ348">
        <v>2300.6999999999998</v>
      </c>
      <c r="AK348">
        <v>2366.8000000000002</v>
      </c>
      <c r="AL348">
        <v>2432.9</v>
      </c>
      <c r="AS348">
        <v>4400</v>
      </c>
    </row>
    <row r="349" spans="1:45" x14ac:dyDescent="0.3">
      <c r="A349">
        <v>175</v>
      </c>
      <c r="B349">
        <v>116.06</v>
      </c>
      <c r="C349" t="s">
        <v>18</v>
      </c>
      <c r="D349">
        <v>486.815</v>
      </c>
      <c r="E349">
        <v>2524.6999999999998</v>
      </c>
      <c r="F349" t="s">
        <v>24</v>
      </c>
      <c r="G349" t="s">
        <v>21</v>
      </c>
      <c r="H349">
        <v>2538.9</v>
      </c>
      <c r="I349">
        <v>2578.1999999999998</v>
      </c>
      <c r="J349">
        <v>2616.9</v>
      </c>
      <c r="K349">
        <v>2655.3</v>
      </c>
      <c r="L349">
        <v>2686.02</v>
      </c>
      <c r="M349">
        <v>2693.7</v>
      </c>
      <c r="N349">
        <v>2716.74</v>
      </c>
      <c r="O349">
        <v>2732.1</v>
      </c>
      <c r="P349">
        <v>2747.54</v>
      </c>
      <c r="Q349">
        <v>2770.7</v>
      </c>
      <c r="R349">
        <v>2778.42</v>
      </c>
      <c r="S349">
        <v>2793.86</v>
      </c>
      <c r="T349">
        <v>2809.3</v>
      </c>
      <c r="U349">
        <v>2840.58</v>
      </c>
      <c r="V349">
        <v>2848.4</v>
      </c>
      <c r="W349">
        <v>2871.86</v>
      </c>
      <c r="X349">
        <v>2887.5</v>
      </c>
      <c r="Y349">
        <v>2903.42</v>
      </c>
      <c r="Z349">
        <v>2927.3</v>
      </c>
      <c r="AA349">
        <v>2935.26</v>
      </c>
      <c r="AB349">
        <v>2967.1</v>
      </c>
      <c r="AC349">
        <v>3007.7</v>
      </c>
      <c r="AD349">
        <v>3048.3</v>
      </c>
      <c r="AE349">
        <v>3089.65</v>
      </c>
      <c r="AF349">
        <v>3131</v>
      </c>
      <c r="AG349">
        <v>3173.2</v>
      </c>
      <c r="AH349">
        <v>3215.4</v>
      </c>
      <c r="AI349">
        <v>3258.5</v>
      </c>
      <c r="AJ349">
        <v>3301.6</v>
      </c>
      <c r="AK349">
        <v>3345.5</v>
      </c>
      <c r="AL349">
        <v>3389.4</v>
      </c>
      <c r="AS349">
        <v>4500</v>
      </c>
    </row>
    <row r="350" spans="1:45" x14ac:dyDescent="0.3">
      <c r="A350">
        <v>175</v>
      </c>
      <c r="B350">
        <v>116.06</v>
      </c>
      <c r="C350" t="s">
        <v>19</v>
      </c>
      <c r="D350">
        <v>487</v>
      </c>
      <c r="E350">
        <v>2700.3</v>
      </c>
      <c r="F350" t="s">
        <v>24</v>
      </c>
      <c r="G350" t="s">
        <v>21</v>
      </c>
      <c r="H350">
        <v>2719</v>
      </c>
      <c r="I350">
        <v>2770.5</v>
      </c>
      <c r="J350">
        <v>2821.3</v>
      </c>
      <c r="K350">
        <v>2871.7</v>
      </c>
      <c r="L350">
        <v>2911.86</v>
      </c>
      <c r="M350">
        <v>2921.9</v>
      </c>
      <c r="N350">
        <v>2951.96</v>
      </c>
      <c r="O350">
        <v>2972</v>
      </c>
      <c r="P350">
        <v>2992.14</v>
      </c>
      <c r="Q350">
        <v>3022.35</v>
      </c>
      <c r="R350">
        <v>3032.42</v>
      </c>
      <c r="S350">
        <v>3052.56</v>
      </c>
      <c r="T350">
        <v>3072.7</v>
      </c>
      <c r="U350">
        <v>3113.2999999999997</v>
      </c>
      <c r="V350">
        <v>3123.45</v>
      </c>
      <c r="W350">
        <v>3153.8999999999996</v>
      </c>
      <c r="X350">
        <v>3174.2</v>
      </c>
      <c r="Y350">
        <v>3194.7799999999997</v>
      </c>
      <c r="Z350">
        <v>3225.6499999999996</v>
      </c>
      <c r="AA350">
        <v>3235.9399999999996</v>
      </c>
      <c r="AB350">
        <v>3277.1</v>
      </c>
      <c r="AC350">
        <v>3329.25</v>
      </c>
      <c r="AD350">
        <v>3381.4</v>
      </c>
      <c r="AE350">
        <v>3434.35</v>
      </c>
      <c r="AF350">
        <v>3487.3</v>
      </c>
      <c r="AG350">
        <v>3541.1000000000004</v>
      </c>
      <c r="AH350">
        <v>3594.9</v>
      </c>
      <c r="AI350">
        <v>3649.55</v>
      </c>
      <c r="AJ350">
        <v>3704.2</v>
      </c>
      <c r="AK350">
        <v>3759.6499999999996</v>
      </c>
      <c r="AL350">
        <v>3815.1</v>
      </c>
      <c r="AS350">
        <v>4600</v>
      </c>
    </row>
    <row r="351" spans="1:45" x14ac:dyDescent="0.3">
      <c r="A351">
        <v>175</v>
      </c>
      <c r="B351">
        <v>116.06</v>
      </c>
      <c r="C351" t="s">
        <v>20</v>
      </c>
      <c r="D351">
        <v>1.4849000000000001</v>
      </c>
      <c r="E351">
        <v>7.1715999999999998</v>
      </c>
      <c r="F351" t="s">
        <v>24</v>
      </c>
      <c r="G351" t="s">
        <v>21</v>
      </c>
      <c r="H351">
        <v>7.2191000000000001</v>
      </c>
      <c r="I351">
        <v>7.3446999999999996</v>
      </c>
      <c r="J351">
        <v>7.4614000000000003</v>
      </c>
      <c r="K351">
        <v>7.5708000000000002</v>
      </c>
      <c r="L351">
        <v>7.6534399999999998</v>
      </c>
      <c r="M351">
        <v>7.6741000000000001</v>
      </c>
      <c r="N351">
        <v>7.7330800000000002</v>
      </c>
      <c r="O351">
        <v>7.7724000000000002</v>
      </c>
      <c r="P351">
        <v>7.8091400000000002</v>
      </c>
      <c r="Q351">
        <v>7.8642500000000002</v>
      </c>
      <c r="R351">
        <v>7.8826200000000002</v>
      </c>
      <c r="S351">
        <v>7.9193600000000002</v>
      </c>
      <c r="T351">
        <v>7.9561000000000002</v>
      </c>
      <c r="U351">
        <v>8.0240200000000002</v>
      </c>
      <c r="V351">
        <v>8.0410000000000004</v>
      </c>
      <c r="W351">
        <v>8.0919399999999992</v>
      </c>
      <c r="X351">
        <v>8.1258999999999997</v>
      </c>
      <c r="Y351">
        <v>8.1576599999999999</v>
      </c>
      <c r="Z351">
        <v>8.2053000000000011</v>
      </c>
      <c r="AA351">
        <v>8.2211800000000004</v>
      </c>
      <c r="AB351">
        <v>8.2847000000000008</v>
      </c>
      <c r="AC351">
        <v>8.3594000000000008</v>
      </c>
      <c r="AD351">
        <v>8.4341000000000008</v>
      </c>
      <c r="AE351">
        <v>8.5049500000000009</v>
      </c>
      <c r="AF351">
        <v>8.5757999999999992</v>
      </c>
      <c r="AG351">
        <v>8.6432000000000002</v>
      </c>
      <c r="AH351">
        <v>8.7105999999999995</v>
      </c>
      <c r="AI351">
        <v>8.7749999999999986</v>
      </c>
      <c r="AJ351">
        <v>8.8393999999999995</v>
      </c>
      <c r="AK351">
        <v>8.9011999999999993</v>
      </c>
      <c r="AL351">
        <v>8.9629999999999992</v>
      </c>
      <c r="AS351">
        <v>4700</v>
      </c>
    </row>
    <row r="352" spans="1:45" x14ac:dyDescent="0.3">
      <c r="A352">
        <v>200</v>
      </c>
      <c r="B352">
        <v>120.23</v>
      </c>
      <c r="C352" t="s">
        <v>0</v>
      </c>
      <c r="D352">
        <v>1.0609999999999999</v>
      </c>
      <c r="E352">
        <v>885.44</v>
      </c>
      <c r="F352" t="s">
        <v>24</v>
      </c>
      <c r="G352" t="s">
        <v>21</v>
      </c>
      <c r="H352">
        <v>897.47</v>
      </c>
      <c r="I352">
        <v>959.54</v>
      </c>
      <c r="J352">
        <v>1020.4</v>
      </c>
      <c r="K352">
        <v>1080.4000000000001</v>
      </c>
      <c r="L352">
        <v>1127.92</v>
      </c>
      <c r="M352">
        <v>1139.8</v>
      </c>
      <c r="N352">
        <v>1175.26</v>
      </c>
      <c r="O352">
        <v>1198.9000000000001</v>
      </c>
      <c r="P352">
        <v>1222.3600000000001</v>
      </c>
      <c r="Q352">
        <v>1257.5500000000002</v>
      </c>
      <c r="R352">
        <v>1269.2800000000002</v>
      </c>
      <c r="S352">
        <v>1292.7400000000002</v>
      </c>
      <c r="T352">
        <v>1316.2</v>
      </c>
      <c r="U352">
        <v>1362.84</v>
      </c>
      <c r="V352">
        <v>1374.5</v>
      </c>
      <c r="W352">
        <v>1409.48</v>
      </c>
      <c r="X352">
        <v>1432.8</v>
      </c>
      <c r="Y352">
        <v>1456.08</v>
      </c>
      <c r="Z352">
        <v>1491</v>
      </c>
      <c r="AA352">
        <v>1502.64</v>
      </c>
      <c r="AB352">
        <v>1549.2</v>
      </c>
      <c r="AC352">
        <v>1607.25</v>
      </c>
      <c r="AD352">
        <v>1665.3</v>
      </c>
      <c r="AE352">
        <v>1723.25</v>
      </c>
      <c r="AF352">
        <v>1781.2</v>
      </c>
      <c r="AG352">
        <v>1839.15</v>
      </c>
      <c r="AH352">
        <v>1897.1</v>
      </c>
      <c r="AI352">
        <v>1955</v>
      </c>
      <c r="AJ352">
        <v>2012.9</v>
      </c>
      <c r="AK352">
        <v>2070.75</v>
      </c>
      <c r="AL352">
        <v>2128.6</v>
      </c>
      <c r="AS352">
        <v>4800</v>
      </c>
    </row>
    <row r="353" spans="1:45" x14ac:dyDescent="0.3">
      <c r="A353">
        <v>200</v>
      </c>
      <c r="B353">
        <v>120.23</v>
      </c>
      <c r="C353" t="s">
        <v>18</v>
      </c>
      <c r="D353">
        <v>504.48899999999998</v>
      </c>
      <c r="E353">
        <v>2529.1999999999998</v>
      </c>
      <c r="F353" t="s">
        <v>24</v>
      </c>
      <c r="G353" t="s">
        <v>21</v>
      </c>
      <c r="H353">
        <v>2536.9</v>
      </c>
      <c r="I353">
        <v>2576.6</v>
      </c>
      <c r="J353">
        <v>2615.6999999999998</v>
      </c>
      <c r="K353">
        <v>2654.4</v>
      </c>
      <c r="L353">
        <v>2685.2000000000003</v>
      </c>
      <c r="M353">
        <v>2692.9</v>
      </c>
      <c r="N353">
        <v>2716</v>
      </c>
      <c r="O353">
        <v>2731.4</v>
      </c>
      <c r="P353">
        <v>2746.88</v>
      </c>
      <c r="Q353">
        <v>2770.1000000000004</v>
      </c>
      <c r="R353">
        <v>2777.84</v>
      </c>
      <c r="S353">
        <v>2793.32</v>
      </c>
      <c r="T353">
        <v>2808.8</v>
      </c>
      <c r="U353">
        <v>2840.16</v>
      </c>
      <c r="V353">
        <v>2848</v>
      </c>
      <c r="W353">
        <v>2871.52</v>
      </c>
      <c r="X353">
        <v>2887.2</v>
      </c>
      <c r="Y353">
        <v>2903.14</v>
      </c>
      <c r="Z353">
        <v>2927.05</v>
      </c>
      <c r="AA353">
        <v>2935.02</v>
      </c>
      <c r="AB353">
        <v>2966.9</v>
      </c>
      <c r="AC353">
        <v>3007.45</v>
      </c>
      <c r="AD353">
        <v>3048</v>
      </c>
      <c r="AE353">
        <v>3089.4</v>
      </c>
      <c r="AF353">
        <v>3130.8</v>
      </c>
      <c r="AG353">
        <v>3173.05</v>
      </c>
      <c r="AH353">
        <v>3215.3</v>
      </c>
      <c r="AI353">
        <v>3258.3500000000004</v>
      </c>
      <c r="AJ353">
        <v>3301.4</v>
      </c>
      <c r="AK353">
        <v>3345.3</v>
      </c>
      <c r="AL353">
        <v>3389.2</v>
      </c>
      <c r="AS353">
        <v>4900</v>
      </c>
    </row>
    <row r="354" spans="1:45" x14ac:dyDescent="0.3">
      <c r="A354">
        <v>200</v>
      </c>
      <c r="B354">
        <v>120.23</v>
      </c>
      <c r="C354" t="s">
        <v>19</v>
      </c>
      <c r="D354">
        <v>504.70100000000002</v>
      </c>
      <c r="E354">
        <v>2706.3</v>
      </c>
      <c r="F354" t="s">
        <v>24</v>
      </c>
      <c r="G354" t="s">
        <v>21</v>
      </c>
      <c r="H354">
        <v>2716.4</v>
      </c>
      <c r="I354">
        <v>2768.5</v>
      </c>
      <c r="J354">
        <v>2819.8</v>
      </c>
      <c r="K354">
        <v>2870.5</v>
      </c>
      <c r="L354">
        <v>2910.82</v>
      </c>
      <c r="M354">
        <v>2920.9</v>
      </c>
      <c r="N354">
        <v>2951.08</v>
      </c>
      <c r="O354">
        <v>2971.2</v>
      </c>
      <c r="P354">
        <v>2991.3799999999997</v>
      </c>
      <c r="Q354">
        <v>3021.6499999999996</v>
      </c>
      <c r="R354">
        <v>3031.74</v>
      </c>
      <c r="S354">
        <v>3051.92</v>
      </c>
      <c r="T354">
        <v>3072.1</v>
      </c>
      <c r="U354">
        <v>3112.78</v>
      </c>
      <c r="V354">
        <v>3122.9500000000003</v>
      </c>
      <c r="W354">
        <v>3153.46</v>
      </c>
      <c r="X354">
        <v>3173.8</v>
      </c>
      <c r="Y354">
        <v>3194.38</v>
      </c>
      <c r="Z354">
        <v>3225.25</v>
      </c>
      <c r="AA354">
        <v>3235.54</v>
      </c>
      <c r="AB354">
        <v>3276.7</v>
      </c>
      <c r="AC354">
        <v>3328.8999999999996</v>
      </c>
      <c r="AD354">
        <v>3381.1</v>
      </c>
      <c r="AE354">
        <v>3434.0499999999997</v>
      </c>
      <c r="AF354">
        <v>3487</v>
      </c>
      <c r="AG354">
        <v>3540.85</v>
      </c>
      <c r="AH354">
        <v>3594.7</v>
      </c>
      <c r="AI354">
        <v>3649.35</v>
      </c>
      <c r="AJ354">
        <v>3704</v>
      </c>
      <c r="AK354">
        <v>3759.5</v>
      </c>
      <c r="AL354">
        <v>3815</v>
      </c>
      <c r="AS354">
        <v>5000</v>
      </c>
    </row>
    <row r="355" spans="1:45" x14ac:dyDescent="0.3">
      <c r="A355">
        <v>200</v>
      </c>
      <c r="B355">
        <v>120.23</v>
      </c>
      <c r="C355" t="s">
        <v>20</v>
      </c>
      <c r="D355">
        <v>1.5301</v>
      </c>
      <c r="E355">
        <v>7.1268000000000002</v>
      </c>
      <c r="F355" t="s">
        <v>24</v>
      </c>
      <c r="G355" t="s">
        <v>21</v>
      </c>
      <c r="H355">
        <v>7.1523000000000003</v>
      </c>
      <c r="I355">
        <v>7.2793999999999999</v>
      </c>
      <c r="J355">
        <v>7.3971</v>
      </c>
      <c r="K355">
        <v>7.5072000000000001</v>
      </c>
      <c r="L355">
        <v>7.5902399999999997</v>
      </c>
      <c r="M355">
        <v>7.6109999999999998</v>
      </c>
      <c r="N355">
        <v>7.6701600000000001</v>
      </c>
      <c r="O355">
        <v>7.7096</v>
      </c>
      <c r="P355">
        <v>7.7464199999999996</v>
      </c>
      <c r="Q355">
        <v>7.8016499999999995</v>
      </c>
      <c r="R355">
        <v>7.8200599999999998</v>
      </c>
      <c r="S355">
        <v>7.8568800000000003</v>
      </c>
      <c r="T355">
        <v>7.8936999999999999</v>
      </c>
      <c r="U355">
        <v>7.9617399999999998</v>
      </c>
      <c r="V355">
        <v>7.9787499999999998</v>
      </c>
      <c r="W355">
        <v>8.0297800000000006</v>
      </c>
      <c r="X355">
        <v>8.0638000000000005</v>
      </c>
      <c r="Y355">
        <v>8.0955600000000008</v>
      </c>
      <c r="Z355">
        <v>8.1432000000000002</v>
      </c>
      <c r="AA355">
        <v>8.1590799999999994</v>
      </c>
      <c r="AB355">
        <v>8.2225999999999999</v>
      </c>
      <c r="AC355">
        <v>8.2973999999999997</v>
      </c>
      <c r="AD355">
        <v>8.3721999999999994</v>
      </c>
      <c r="AE355">
        <v>8.4430499999999995</v>
      </c>
      <c r="AF355">
        <v>8.5138999999999996</v>
      </c>
      <c r="AG355">
        <v>8.5812999999999988</v>
      </c>
      <c r="AH355">
        <v>8.6486999999999998</v>
      </c>
      <c r="AI355">
        <v>8.7131499999999988</v>
      </c>
      <c r="AJ355">
        <v>8.7775999999999996</v>
      </c>
      <c r="AK355">
        <v>8.8393999999999995</v>
      </c>
      <c r="AL355">
        <v>8.9011999999999993</v>
      </c>
      <c r="AS355">
        <v>5100</v>
      </c>
    </row>
    <row r="356" spans="1:45" x14ac:dyDescent="0.3">
      <c r="A356">
        <v>225</v>
      </c>
      <c r="B356">
        <v>123.99</v>
      </c>
      <c r="C356" t="s">
        <v>0</v>
      </c>
      <c r="D356">
        <v>1.0640000000000001</v>
      </c>
      <c r="E356">
        <v>792.97</v>
      </c>
      <c r="F356" t="s">
        <v>24</v>
      </c>
      <c r="G356" t="s">
        <v>21</v>
      </c>
      <c r="H356">
        <v>795.25</v>
      </c>
      <c r="I356">
        <v>850.97</v>
      </c>
      <c r="J356">
        <v>905.44</v>
      </c>
      <c r="K356">
        <v>959.06</v>
      </c>
      <c r="L356">
        <v>1001.492</v>
      </c>
      <c r="M356">
        <v>1012.1</v>
      </c>
      <c r="N356">
        <v>1043.6600000000001</v>
      </c>
      <c r="O356">
        <v>1064.7</v>
      </c>
      <c r="P356">
        <v>1085.6000000000001</v>
      </c>
      <c r="Q356">
        <v>1116.95</v>
      </c>
      <c r="R356">
        <v>1127.4000000000001</v>
      </c>
      <c r="S356">
        <v>1148.3000000000002</v>
      </c>
      <c r="T356">
        <v>1169.2</v>
      </c>
      <c r="U356">
        <v>1210.76</v>
      </c>
      <c r="V356">
        <v>1221.1500000000001</v>
      </c>
      <c r="W356">
        <v>1252.32</v>
      </c>
      <c r="X356">
        <v>1273.0999999999999</v>
      </c>
      <c r="Y356">
        <v>1293.8</v>
      </c>
      <c r="Z356">
        <v>1324.85</v>
      </c>
      <c r="AA356">
        <v>1335.1999999999998</v>
      </c>
      <c r="AB356">
        <v>1376.6</v>
      </c>
      <c r="AC356">
        <v>1428.25</v>
      </c>
      <c r="AD356">
        <v>1479.9</v>
      </c>
      <c r="AE356">
        <v>1531.45</v>
      </c>
      <c r="AF356">
        <v>1583</v>
      </c>
      <c r="AG356">
        <v>1634.5</v>
      </c>
      <c r="AH356">
        <v>1686</v>
      </c>
      <c r="AI356">
        <v>1737.5</v>
      </c>
      <c r="AJ356">
        <v>1789</v>
      </c>
      <c r="AK356">
        <v>1840.45</v>
      </c>
      <c r="AL356">
        <v>1891.9</v>
      </c>
      <c r="AS356">
        <v>5200</v>
      </c>
    </row>
    <row r="357" spans="1:45" x14ac:dyDescent="0.3">
      <c r="A357">
        <v>225</v>
      </c>
      <c r="B357">
        <v>123.99</v>
      </c>
      <c r="C357" t="s">
        <v>18</v>
      </c>
      <c r="D357">
        <v>520.46500000000003</v>
      </c>
      <c r="E357">
        <v>2533.1999999999998</v>
      </c>
      <c r="F357" t="s">
        <v>24</v>
      </c>
      <c r="G357" t="s">
        <v>21</v>
      </c>
      <c r="H357">
        <v>2534.8000000000002</v>
      </c>
      <c r="I357">
        <v>2575.1</v>
      </c>
      <c r="J357">
        <v>2614.5</v>
      </c>
      <c r="K357">
        <v>2653.5</v>
      </c>
      <c r="L357">
        <v>2684.46</v>
      </c>
      <c r="M357">
        <v>2692.2</v>
      </c>
      <c r="N357">
        <v>2715.36</v>
      </c>
      <c r="O357">
        <v>2730.8</v>
      </c>
      <c r="P357">
        <v>2746.32</v>
      </c>
      <c r="Q357">
        <v>2769.6000000000004</v>
      </c>
      <c r="R357">
        <v>2777.36</v>
      </c>
      <c r="S357">
        <v>2792.88</v>
      </c>
      <c r="T357">
        <v>2808.4</v>
      </c>
      <c r="U357">
        <v>2839.8</v>
      </c>
      <c r="V357">
        <v>2847.65</v>
      </c>
      <c r="W357">
        <v>2871.2000000000003</v>
      </c>
      <c r="X357">
        <v>2886.9</v>
      </c>
      <c r="Y357">
        <v>2902.84</v>
      </c>
      <c r="Z357">
        <v>2926.75</v>
      </c>
      <c r="AA357">
        <v>2934.72</v>
      </c>
      <c r="AB357">
        <v>2966.6</v>
      </c>
      <c r="AC357">
        <v>3007.2</v>
      </c>
      <c r="AD357">
        <v>3047.8</v>
      </c>
      <c r="AE357">
        <v>3089.2</v>
      </c>
      <c r="AF357">
        <v>3130.6</v>
      </c>
      <c r="AG357">
        <v>3172.85</v>
      </c>
      <c r="AH357">
        <v>3215.1</v>
      </c>
      <c r="AI357">
        <v>3258.1499999999996</v>
      </c>
      <c r="AJ357">
        <v>3301.2</v>
      </c>
      <c r="AK357">
        <v>3345.1499999999996</v>
      </c>
      <c r="AL357">
        <v>3389.1</v>
      </c>
      <c r="AS357">
        <v>5300</v>
      </c>
    </row>
    <row r="358" spans="1:45" x14ac:dyDescent="0.3">
      <c r="A358">
        <v>225</v>
      </c>
      <c r="B358">
        <v>123.99</v>
      </c>
      <c r="C358" t="s">
        <v>19</v>
      </c>
      <c r="D358">
        <v>520.70500000000004</v>
      </c>
      <c r="E358">
        <v>2711.6</v>
      </c>
      <c r="F358" t="s">
        <v>24</v>
      </c>
      <c r="G358" t="s">
        <v>21</v>
      </c>
      <c r="H358">
        <v>2713.8</v>
      </c>
      <c r="I358">
        <v>2766.5</v>
      </c>
      <c r="J358">
        <v>2818.2</v>
      </c>
      <c r="K358">
        <v>2869.3</v>
      </c>
      <c r="L358">
        <v>2909.78</v>
      </c>
      <c r="M358">
        <v>2919.9</v>
      </c>
      <c r="N358">
        <v>2950.2000000000003</v>
      </c>
      <c r="O358">
        <v>2970.4</v>
      </c>
      <c r="P358">
        <v>2990.62</v>
      </c>
      <c r="Q358">
        <v>3020.95</v>
      </c>
      <c r="R358">
        <v>3031.06</v>
      </c>
      <c r="S358">
        <v>3051.2799999999997</v>
      </c>
      <c r="T358">
        <v>3071.5</v>
      </c>
      <c r="U358">
        <v>3112.2200000000003</v>
      </c>
      <c r="V358">
        <v>3122.4</v>
      </c>
      <c r="W358">
        <v>3152.94</v>
      </c>
      <c r="X358">
        <v>3173.3</v>
      </c>
      <c r="Y358">
        <v>3193.9</v>
      </c>
      <c r="Z358">
        <v>3224.8</v>
      </c>
      <c r="AA358">
        <v>3235.1000000000004</v>
      </c>
      <c r="AB358">
        <v>3276.3</v>
      </c>
      <c r="AC358">
        <v>3328.55</v>
      </c>
      <c r="AD358">
        <v>3380.8</v>
      </c>
      <c r="AE358">
        <v>3433.8</v>
      </c>
      <c r="AF358">
        <v>3486.8</v>
      </c>
      <c r="AG358">
        <v>3540.6000000000004</v>
      </c>
      <c r="AH358">
        <v>3594.4</v>
      </c>
      <c r="AI358">
        <v>3649.1000000000004</v>
      </c>
      <c r="AJ358">
        <v>3703.8</v>
      </c>
      <c r="AK358">
        <v>3759.3</v>
      </c>
      <c r="AL358">
        <v>3814.8</v>
      </c>
      <c r="AS358">
        <v>5400</v>
      </c>
    </row>
    <row r="359" spans="1:45" x14ac:dyDescent="0.3">
      <c r="A359">
        <v>225</v>
      </c>
      <c r="B359">
        <v>123.99</v>
      </c>
      <c r="C359" t="s">
        <v>20</v>
      </c>
      <c r="D359">
        <v>1.5705</v>
      </c>
      <c r="E359">
        <v>7.0872999999999999</v>
      </c>
      <c r="F359" t="s">
        <v>24</v>
      </c>
      <c r="G359" t="s">
        <v>21</v>
      </c>
      <c r="H359">
        <v>7.0928000000000004</v>
      </c>
      <c r="I359">
        <v>7.2213000000000003</v>
      </c>
      <c r="J359">
        <v>7.34</v>
      </c>
      <c r="K359">
        <v>7.4508000000000001</v>
      </c>
      <c r="L359">
        <v>7.5342400000000005</v>
      </c>
      <c r="M359">
        <v>7.5551000000000004</v>
      </c>
      <c r="N359">
        <v>7.6144400000000001</v>
      </c>
      <c r="O359">
        <v>7.6539999999999999</v>
      </c>
      <c r="P359">
        <v>7.6909000000000001</v>
      </c>
      <c r="Q359">
        <v>7.7462499999999999</v>
      </c>
      <c r="R359">
        <v>7.7646999999999995</v>
      </c>
      <c r="S359">
        <v>7.8015999999999996</v>
      </c>
      <c r="T359">
        <v>7.8384999999999998</v>
      </c>
      <c r="U359">
        <v>7.9066200000000002</v>
      </c>
      <c r="V359">
        <v>7.9236500000000003</v>
      </c>
      <c r="W359">
        <v>7.9747400000000006</v>
      </c>
      <c r="X359">
        <v>8.0088000000000008</v>
      </c>
      <c r="Y359">
        <v>8.0406200000000005</v>
      </c>
      <c r="Z359">
        <v>8.0883500000000002</v>
      </c>
      <c r="AA359">
        <v>8.10426</v>
      </c>
      <c r="AB359">
        <v>8.1678999999999995</v>
      </c>
      <c r="AC359">
        <v>8.2426999999999992</v>
      </c>
      <c r="AD359">
        <v>8.3175000000000008</v>
      </c>
      <c r="AE359">
        <v>8.3884000000000007</v>
      </c>
      <c r="AF359">
        <v>8.4593000000000007</v>
      </c>
      <c r="AG359">
        <v>8.5267499999999998</v>
      </c>
      <c r="AH359">
        <v>8.5942000000000007</v>
      </c>
      <c r="AI359">
        <v>8.6586500000000015</v>
      </c>
      <c r="AJ359">
        <v>8.7231000000000005</v>
      </c>
      <c r="AK359">
        <v>8.7849000000000004</v>
      </c>
      <c r="AL359">
        <v>8.8467000000000002</v>
      </c>
      <c r="AS359">
        <v>5500</v>
      </c>
    </row>
    <row r="360" spans="1:45" x14ac:dyDescent="0.3">
      <c r="A360">
        <v>250</v>
      </c>
      <c r="B360">
        <v>127.43</v>
      </c>
      <c r="C360" t="s">
        <v>0</v>
      </c>
      <c r="D360">
        <v>1.0680000000000001</v>
      </c>
      <c r="E360">
        <v>718.44</v>
      </c>
      <c r="F360" t="s">
        <v>24</v>
      </c>
      <c r="G360" t="s">
        <v>21</v>
      </c>
      <c r="H360" t="s">
        <v>21</v>
      </c>
      <c r="I360">
        <v>764.09</v>
      </c>
      <c r="J360">
        <v>813.47</v>
      </c>
      <c r="K360">
        <v>861.98</v>
      </c>
      <c r="L360">
        <v>900.32399999999996</v>
      </c>
      <c r="M360">
        <v>909.91</v>
      </c>
      <c r="N360">
        <v>938.41</v>
      </c>
      <c r="O360">
        <v>957.41</v>
      </c>
      <c r="P360">
        <v>976.24799999999993</v>
      </c>
      <c r="Q360">
        <v>1004.5049999999999</v>
      </c>
      <c r="R360">
        <v>1013.9239999999999</v>
      </c>
      <c r="S360">
        <v>1032.7619999999999</v>
      </c>
      <c r="T360">
        <v>1051.5999999999999</v>
      </c>
      <c r="U360">
        <v>1089.04</v>
      </c>
      <c r="V360">
        <v>1098.4000000000001</v>
      </c>
      <c r="W360">
        <v>1126.48</v>
      </c>
      <c r="X360">
        <v>1145.2</v>
      </c>
      <c r="Y360">
        <v>1163.8600000000001</v>
      </c>
      <c r="Z360">
        <v>1191.8500000000001</v>
      </c>
      <c r="AA360">
        <v>1201.18</v>
      </c>
      <c r="AB360">
        <v>1238.5</v>
      </c>
      <c r="AC360">
        <v>1285</v>
      </c>
      <c r="AD360">
        <v>1331.5</v>
      </c>
      <c r="AE360">
        <v>1377.95</v>
      </c>
      <c r="AF360">
        <v>1424.4</v>
      </c>
      <c r="AG360">
        <v>1470.8000000000002</v>
      </c>
      <c r="AH360">
        <v>1517.2</v>
      </c>
      <c r="AI360">
        <v>1563.5500000000002</v>
      </c>
      <c r="AJ360">
        <v>1609.9</v>
      </c>
      <c r="AK360">
        <v>1656.2</v>
      </c>
      <c r="AL360">
        <v>1702.5</v>
      </c>
      <c r="AS360">
        <v>5600</v>
      </c>
    </row>
    <row r="361" spans="1:45" x14ac:dyDescent="0.3">
      <c r="A361">
        <v>250</v>
      </c>
      <c r="B361">
        <v>127.43</v>
      </c>
      <c r="C361" t="s">
        <v>18</v>
      </c>
      <c r="D361">
        <v>535.077</v>
      </c>
      <c r="E361">
        <v>2536.8000000000002</v>
      </c>
      <c r="F361" t="s">
        <v>24</v>
      </c>
      <c r="G361" t="s">
        <v>21</v>
      </c>
      <c r="H361" t="s">
        <v>21</v>
      </c>
      <c r="I361">
        <v>2573.5</v>
      </c>
      <c r="J361">
        <v>2613.3000000000002</v>
      </c>
      <c r="K361">
        <v>2652.5</v>
      </c>
      <c r="L361">
        <v>2683.62</v>
      </c>
      <c r="M361">
        <v>2691.4</v>
      </c>
      <c r="N361">
        <v>2714.68</v>
      </c>
      <c r="O361">
        <v>2730.2</v>
      </c>
      <c r="P361">
        <v>2745.7599999999998</v>
      </c>
      <c r="Q361">
        <v>2769.1</v>
      </c>
      <c r="R361">
        <v>2776.88</v>
      </c>
      <c r="S361">
        <v>2792.44</v>
      </c>
      <c r="T361">
        <v>2808</v>
      </c>
      <c r="U361">
        <v>2839.4</v>
      </c>
      <c r="V361">
        <v>2847.25</v>
      </c>
      <c r="W361">
        <v>2870.8</v>
      </c>
      <c r="X361">
        <v>2886.5</v>
      </c>
      <c r="Y361">
        <v>2902.46</v>
      </c>
      <c r="Z361">
        <v>2926.4</v>
      </c>
      <c r="AA361">
        <v>2934.38</v>
      </c>
      <c r="AB361">
        <v>2966.3</v>
      </c>
      <c r="AC361">
        <v>3006.95</v>
      </c>
      <c r="AD361">
        <v>3047.6</v>
      </c>
      <c r="AE361">
        <v>3089</v>
      </c>
      <c r="AF361">
        <v>3130.4</v>
      </c>
      <c r="AG361">
        <v>3172.65</v>
      </c>
      <c r="AH361">
        <v>3214.9</v>
      </c>
      <c r="AI361">
        <v>3258</v>
      </c>
      <c r="AJ361">
        <v>3301.1</v>
      </c>
      <c r="AK361">
        <v>3345.05</v>
      </c>
      <c r="AL361">
        <v>3389</v>
      </c>
      <c r="AS361">
        <v>5700</v>
      </c>
    </row>
    <row r="362" spans="1:45" x14ac:dyDescent="0.3">
      <c r="A362">
        <v>250</v>
      </c>
      <c r="B362">
        <v>127.43</v>
      </c>
      <c r="C362" t="s">
        <v>19</v>
      </c>
      <c r="D362">
        <v>535.34299999999996</v>
      </c>
      <c r="E362">
        <v>2716.4</v>
      </c>
      <c r="F362" t="s">
        <v>24</v>
      </c>
      <c r="G362" t="s">
        <v>21</v>
      </c>
      <c r="H362" t="s">
        <v>21</v>
      </c>
      <c r="I362">
        <v>2764.5</v>
      </c>
      <c r="J362">
        <v>2816.7</v>
      </c>
      <c r="K362">
        <v>2868</v>
      </c>
      <c r="L362">
        <v>2908.7200000000003</v>
      </c>
      <c r="M362">
        <v>2918.9</v>
      </c>
      <c r="N362">
        <v>2949.32</v>
      </c>
      <c r="O362">
        <v>2969.6</v>
      </c>
      <c r="P362">
        <v>2989.86</v>
      </c>
      <c r="Q362">
        <v>3020.25</v>
      </c>
      <c r="R362">
        <v>3030.38</v>
      </c>
      <c r="S362">
        <v>3050.6400000000003</v>
      </c>
      <c r="T362">
        <v>3070.9</v>
      </c>
      <c r="U362">
        <v>3111.6600000000003</v>
      </c>
      <c r="V362">
        <v>3121.8500000000004</v>
      </c>
      <c r="W362">
        <v>3152.42</v>
      </c>
      <c r="X362">
        <v>3172.8</v>
      </c>
      <c r="Y362">
        <v>3193.42</v>
      </c>
      <c r="Z362">
        <v>3224.35</v>
      </c>
      <c r="AA362">
        <v>3234.66</v>
      </c>
      <c r="AB362">
        <v>3275.9</v>
      </c>
      <c r="AC362">
        <v>3328.15</v>
      </c>
      <c r="AD362">
        <v>3380.4</v>
      </c>
      <c r="AE362">
        <v>3433.45</v>
      </c>
      <c r="AF362">
        <v>3486.5</v>
      </c>
      <c r="AG362">
        <v>3540.35</v>
      </c>
      <c r="AH362">
        <v>3594.2</v>
      </c>
      <c r="AI362">
        <v>3648.8999999999996</v>
      </c>
      <c r="AJ362">
        <v>3703.6</v>
      </c>
      <c r="AK362">
        <v>3759.1</v>
      </c>
      <c r="AL362">
        <v>3814.6</v>
      </c>
      <c r="AS362">
        <v>5800</v>
      </c>
    </row>
    <row r="363" spans="1:45" x14ac:dyDescent="0.3">
      <c r="A363">
        <v>250</v>
      </c>
      <c r="B363">
        <v>127.43</v>
      </c>
      <c r="C363" t="s">
        <v>20</v>
      </c>
      <c r="D363">
        <v>1.6071</v>
      </c>
      <c r="E363">
        <v>7.0519999999999996</v>
      </c>
      <c r="F363" t="s">
        <v>24</v>
      </c>
      <c r="G363" t="s">
        <v>21</v>
      </c>
      <c r="H363" t="s">
        <v>21</v>
      </c>
      <c r="I363">
        <v>7.1688999999999998</v>
      </c>
      <c r="J363">
        <v>7.2885999999999997</v>
      </c>
      <c r="K363">
        <v>7.4001000000000001</v>
      </c>
      <c r="L363">
        <v>7.4840200000000001</v>
      </c>
      <c r="M363">
        <v>7.5049999999999999</v>
      </c>
      <c r="N363">
        <v>7.5645199999999999</v>
      </c>
      <c r="O363">
        <v>7.6041999999999996</v>
      </c>
      <c r="P363">
        <v>7.6411799999999994</v>
      </c>
      <c r="Q363">
        <v>7.69665</v>
      </c>
      <c r="R363">
        <v>7.7151399999999999</v>
      </c>
      <c r="S363">
        <v>7.7521199999999997</v>
      </c>
      <c r="T363">
        <v>7.7891000000000004</v>
      </c>
      <c r="U363">
        <v>7.8573399999999998</v>
      </c>
      <c r="V363">
        <v>7.8743999999999996</v>
      </c>
      <c r="W363">
        <v>7.9255800000000001</v>
      </c>
      <c r="X363">
        <v>7.9596999999999998</v>
      </c>
      <c r="Y363">
        <v>7.9915199999999995</v>
      </c>
      <c r="Z363">
        <v>8.0392499999999991</v>
      </c>
      <c r="AA363">
        <v>8.055159999999999</v>
      </c>
      <c r="AB363">
        <v>8.1188000000000002</v>
      </c>
      <c r="AC363">
        <v>8.1936999999999998</v>
      </c>
      <c r="AD363">
        <v>8.2685999999999993</v>
      </c>
      <c r="AE363">
        <v>8.3394999999999992</v>
      </c>
      <c r="AF363">
        <v>8.4103999999999992</v>
      </c>
      <c r="AG363">
        <v>8.4778500000000001</v>
      </c>
      <c r="AH363">
        <v>8.5452999999999992</v>
      </c>
      <c r="AI363">
        <v>8.6097999999999999</v>
      </c>
      <c r="AJ363">
        <v>8.6743000000000006</v>
      </c>
      <c r="AK363">
        <v>8.7361500000000003</v>
      </c>
      <c r="AL363">
        <v>8.798</v>
      </c>
      <c r="AS363">
        <v>5900</v>
      </c>
    </row>
    <row r="364" spans="1:45" x14ac:dyDescent="0.3">
      <c r="A364">
        <v>275</v>
      </c>
      <c r="B364">
        <v>130.6</v>
      </c>
      <c r="C364" t="s">
        <v>0</v>
      </c>
      <c r="D364">
        <v>1.071</v>
      </c>
      <c r="E364">
        <v>657.04</v>
      </c>
      <c r="F364" t="s">
        <v>24</v>
      </c>
      <c r="G364" t="s">
        <v>21</v>
      </c>
      <c r="H364" t="s">
        <v>21</v>
      </c>
      <c r="I364">
        <v>693</v>
      </c>
      <c r="J364">
        <v>738.21</v>
      </c>
      <c r="K364">
        <v>782.55</v>
      </c>
      <c r="L364">
        <v>817.54199999999992</v>
      </c>
      <c r="M364">
        <v>826.29</v>
      </c>
      <c r="N364">
        <v>852.28200000000004</v>
      </c>
      <c r="O364">
        <v>869.61</v>
      </c>
      <c r="P364">
        <v>886.77800000000002</v>
      </c>
      <c r="Q364">
        <v>912.53</v>
      </c>
      <c r="R364">
        <v>921.11400000000003</v>
      </c>
      <c r="S364">
        <v>938.28200000000004</v>
      </c>
      <c r="T364">
        <v>955.45</v>
      </c>
      <c r="U364">
        <v>989.55000000000007</v>
      </c>
      <c r="V364">
        <v>998.07500000000005</v>
      </c>
      <c r="W364">
        <v>1023.6500000000001</v>
      </c>
      <c r="X364">
        <v>1040.7</v>
      </c>
      <c r="Y364">
        <v>1057.6300000000001</v>
      </c>
      <c r="Z364">
        <v>1083.0250000000001</v>
      </c>
      <c r="AA364">
        <v>1091.49</v>
      </c>
      <c r="AB364">
        <v>1125.3499999999999</v>
      </c>
      <c r="AC364">
        <v>1167.7750000000001</v>
      </c>
      <c r="AD364">
        <v>1210.2</v>
      </c>
      <c r="AE364">
        <v>1252.45</v>
      </c>
      <c r="AF364">
        <v>1294.7</v>
      </c>
      <c r="AG364">
        <v>1336.85</v>
      </c>
      <c r="AH364">
        <v>1379</v>
      </c>
      <c r="AI364">
        <v>1421.15</v>
      </c>
      <c r="AJ364">
        <v>1463.3</v>
      </c>
      <c r="AK364">
        <v>1505.4499999999998</v>
      </c>
      <c r="AL364">
        <v>1547.6</v>
      </c>
      <c r="AS364">
        <v>6000</v>
      </c>
    </row>
    <row r="365" spans="1:45" x14ac:dyDescent="0.3">
      <c r="A365">
        <v>275</v>
      </c>
      <c r="B365">
        <v>130.6</v>
      </c>
      <c r="C365" t="s">
        <v>18</v>
      </c>
      <c r="D365">
        <v>548.56399999999996</v>
      </c>
      <c r="E365">
        <v>2540</v>
      </c>
      <c r="F365" t="s">
        <v>24</v>
      </c>
      <c r="G365" t="s">
        <v>21</v>
      </c>
      <c r="H365" t="s">
        <v>21</v>
      </c>
      <c r="I365">
        <v>2571.9</v>
      </c>
      <c r="J365">
        <v>2612.1</v>
      </c>
      <c r="K365">
        <v>2651.6</v>
      </c>
      <c r="L365">
        <v>2682.8799999999997</v>
      </c>
      <c r="M365">
        <v>2690.7</v>
      </c>
      <c r="N365">
        <v>2714.04</v>
      </c>
      <c r="O365">
        <v>2729.6</v>
      </c>
      <c r="P365">
        <v>2745.18</v>
      </c>
      <c r="Q365">
        <v>2768.5499999999997</v>
      </c>
      <c r="R365">
        <v>2776.3399999999997</v>
      </c>
      <c r="S365">
        <v>2791.92</v>
      </c>
      <c r="T365">
        <v>2807.5</v>
      </c>
      <c r="U365">
        <v>2838.98</v>
      </c>
      <c r="V365">
        <v>2846.85</v>
      </c>
      <c r="W365">
        <v>2870.46</v>
      </c>
      <c r="X365">
        <v>2886.2</v>
      </c>
      <c r="Y365">
        <v>2902.16</v>
      </c>
      <c r="Z365">
        <v>2926.1</v>
      </c>
      <c r="AA365">
        <v>2934.08</v>
      </c>
      <c r="AB365">
        <v>2966</v>
      </c>
      <c r="AC365">
        <v>3006.65</v>
      </c>
      <c r="AD365">
        <v>3047.3</v>
      </c>
      <c r="AE365">
        <v>3088.75</v>
      </c>
      <c r="AF365">
        <v>3130.2</v>
      </c>
      <c r="AG365">
        <v>3172.45</v>
      </c>
      <c r="AH365">
        <v>3214.7</v>
      </c>
      <c r="AI365">
        <v>3257.8</v>
      </c>
      <c r="AJ365">
        <v>3300.9</v>
      </c>
      <c r="AK365">
        <v>3344.8500000000004</v>
      </c>
      <c r="AL365">
        <v>3388.8</v>
      </c>
      <c r="AS365">
        <v>6100</v>
      </c>
    </row>
    <row r="366" spans="1:45" x14ac:dyDescent="0.3">
      <c r="A366">
        <v>275</v>
      </c>
      <c r="B366">
        <v>130.6</v>
      </c>
      <c r="C366" t="s">
        <v>19</v>
      </c>
      <c r="D366">
        <v>548.85799999999995</v>
      </c>
      <c r="E366">
        <v>2720.7</v>
      </c>
      <c r="F366" t="s">
        <v>24</v>
      </c>
      <c r="G366" t="s">
        <v>21</v>
      </c>
      <c r="H366" t="s">
        <v>21</v>
      </c>
      <c r="I366">
        <v>2762.5</v>
      </c>
      <c r="J366">
        <v>2815.1</v>
      </c>
      <c r="K366">
        <v>2866.8</v>
      </c>
      <c r="L366">
        <v>2907.6800000000003</v>
      </c>
      <c r="M366">
        <v>2917.9</v>
      </c>
      <c r="N366">
        <v>2948.38</v>
      </c>
      <c r="O366">
        <v>2968.7</v>
      </c>
      <c r="P366">
        <v>2989.02</v>
      </c>
      <c r="Q366">
        <v>3019.5</v>
      </c>
      <c r="R366">
        <v>3029.66</v>
      </c>
      <c r="S366">
        <v>3049.98</v>
      </c>
      <c r="T366">
        <v>3070.3</v>
      </c>
      <c r="U366">
        <v>3111.1400000000003</v>
      </c>
      <c r="V366">
        <v>3121.3500000000004</v>
      </c>
      <c r="W366">
        <v>3151.98</v>
      </c>
      <c r="X366">
        <v>3172.4</v>
      </c>
      <c r="Y366">
        <v>3193.02</v>
      </c>
      <c r="Z366">
        <v>3223.95</v>
      </c>
      <c r="AA366">
        <v>3234.2599999999998</v>
      </c>
      <c r="AB366">
        <v>3275.5</v>
      </c>
      <c r="AC366">
        <v>3327.8</v>
      </c>
      <c r="AD366">
        <v>3380.1</v>
      </c>
      <c r="AE366">
        <v>3433.1499999999996</v>
      </c>
      <c r="AF366">
        <v>3486.2</v>
      </c>
      <c r="AG366">
        <v>3540.1</v>
      </c>
      <c r="AH366">
        <v>3594</v>
      </c>
      <c r="AI366">
        <v>3648.7</v>
      </c>
      <c r="AJ366">
        <v>3703.4</v>
      </c>
      <c r="AK366">
        <v>3758.9</v>
      </c>
      <c r="AL366">
        <v>3814.4</v>
      </c>
      <c r="AS366">
        <v>6200</v>
      </c>
    </row>
    <row r="367" spans="1:45" x14ac:dyDescent="0.3">
      <c r="A367">
        <v>275</v>
      </c>
      <c r="B367">
        <v>130.6</v>
      </c>
      <c r="C367" t="s">
        <v>20</v>
      </c>
      <c r="D367">
        <v>1.6407</v>
      </c>
      <c r="E367">
        <v>7.0201000000000002</v>
      </c>
      <c r="F367" t="s">
        <v>24</v>
      </c>
      <c r="G367" t="s">
        <v>21</v>
      </c>
      <c r="H367" t="s">
        <v>21</v>
      </c>
      <c r="I367">
        <v>7.1211000000000002</v>
      </c>
      <c r="J367">
        <v>7.2419000000000002</v>
      </c>
      <c r="K367">
        <v>7.3540999999999999</v>
      </c>
      <c r="L367">
        <v>7.4383399999999993</v>
      </c>
      <c r="M367">
        <v>7.4593999999999996</v>
      </c>
      <c r="N367">
        <v>7.5191600000000003</v>
      </c>
      <c r="O367">
        <v>7.5590000000000002</v>
      </c>
      <c r="P367">
        <v>7.5960799999999997</v>
      </c>
      <c r="Q367">
        <v>7.6516999999999999</v>
      </c>
      <c r="R367">
        <v>7.6702399999999997</v>
      </c>
      <c r="S367">
        <v>7.7073199999999993</v>
      </c>
      <c r="T367">
        <v>7.7443999999999997</v>
      </c>
      <c r="U367">
        <v>7.8126799999999994</v>
      </c>
      <c r="V367">
        <v>7.8297499999999998</v>
      </c>
      <c r="W367">
        <v>7.88096</v>
      </c>
      <c r="X367">
        <v>7.9150999999999998</v>
      </c>
      <c r="Y367">
        <v>7.9469599999999998</v>
      </c>
      <c r="Z367">
        <v>7.9947499999999998</v>
      </c>
      <c r="AA367">
        <v>8.0106800000000007</v>
      </c>
      <c r="AB367">
        <v>8.0744000000000007</v>
      </c>
      <c r="AC367">
        <v>8.1493500000000001</v>
      </c>
      <c r="AD367">
        <v>8.2242999999999995</v>
      </c>
      <c r="AE367">
        <v>8.2951999999999995</v>
      </c>
      <c r="AF367">
        <v>8.3660999999999994</v>
      </c>
      <c r="AG367">
        <v>8.4335999999999984</v>
      </c>
      <c r="AH367">
        <v>8.5010999999999992</v>
      </c>
      <c r="AI367">
        <v>8.5655999999999999</v>
      </c>
      <c r="AJ367">
        <v>8.6301000000000005</v>
      </c>
      <c r="AK367">
        <v>8.6919500000000003</v>
      </c>
      <c r="AL367">
        <v>8.7538</v>
      </c>
      <c r="AS367">
        <v>6300</v>
      </c>
    </row>
    <row r="368" spans="1:45" x14ac:dyDescent="0.3">
      <c r="A368">
        <v>300</v>
      </c>
      <c r="B368">
        <v>133.54</v>
      </c>
      <c r="C368" t="s">
        <v>0</v>
      </c>
      <c r="D368">
        <v>1.073</v>
      </c>
      <c r="E368">
        <v>605.55999999999995</v>
      </c>
      <c r="F368" t="s">
        <v>24</v>
      </c>
      <c r="G368" t="s">
        <v>21</v>
      </c>
      <c r="H368" t="s">
        <v>21</v>
      </c>
      <c r="I368">
        <v>633.74</v>
      </c>
      <c r="J368">
        <v>675.49</v>
      </c>
      <c r="K368">
        <v>716.35</v>
      </c>
      <c r="L368">
        <v>748.55000000000007</v>
      </c>
      <c r="M368">
        <v>756.6</v>
      </c>
      <c r="N368">
        <v>780.50400000000002</v>
      </c>
      <c r="O368">
        <v>796.44</v>
      </c>
      <c r="P368">
        <v>812.21</v>
      </c>
      <c r="Q368">
        <v>835.86500000000001</v>
      </c>
      <c r="R368">
        <v>843.75</v>
      </c>
      <c r="S368">
        <v>859.52</v>
      </c>
      <c r="T368">
        <v>875.29</v>
      </c>
      <c r="U368">
        <v>906.58199999999999</v>
      </c>
      <c r="V368">
        <v>914.40499999999997</v>
      </c>
      <c r="W368">
        <v>937.87400000000002</v>
      </c>
      <c r="X368">
        <v>953.52</v>
      </c>
      <c r="Y368">
        <v>969.096</v>
      </c>
      <c r="Z368">
        <v>992.46</v>
      </c>
      <c r="AA368">
        <v>1000.248</v>
      </c>
      <c r="AB368">
        <v>1031.4000000000001</v>
      </c>
      <c r="AC368">
        <v>1070.2</v>
      </c>
      <c r="AD368">
        <v>1109</v>
      </c>
      <c r="AE368">
        <v>1147.75</v>
      </c>
      <c r="AF368">
        <v>1186.5</v>
      </c>
      <c r="AG368">
        <v>1225.2</v>
      </c>
      <c r="AH368">
        <v>1263.9000000000001</v>
      </c>
      <c r="AI368">
        <v>1302.5500000000002</v>
      </c>
      <c r="AJ368">
        <v>1341.2</v>
      </c>
      <c r="AK368">
        <v>1379.85</v>
      </c>
      <c r="AL368">
        <v>1418.5</v>
      </c>
      <c r="AS368">
        <v>6400</v>
      </c>
    </row>
    <row r="369" spans="1:45" x14ac:dyDescent="0.3">
      <c r="A369">
        <v>300</v>
      </c>
      <c r="B369">
        <v>133.54</v>
      </c>
      <c r="C369" t="s">
        <v>18</v>
      </c>
      <c r="D369">
        <v>561.10699999999997</v>
      </c>
      <c r="E369">
        <v>2543</v>
      </c>
      <c r="F369" t="s">
        <v>24</v>
      </c>
      <c r="G369" t="s">
        <v>21</v>
      </c>
      <c r="H369" t="s">
        <v>21</v>
      </c>
      <c r="I369">
        <v>2570.3000000000002</v>
      </c>
      <c r="J369">
        <v>2610.8000000000002</v>
      </c>
      <c r="K369">
        <v>2650.6</v>
      </c>
      <c r="L369">
        <v>2682.04</v>
      </c>
      <c r="M369">
        <v>2689.9</v>
      </c>
      <c r="N369">
        <v>2713.36</v>
      </c>
      <c r="O369">
        <v>2729</v>
      </c>
      <c r="P369">
        <v>2744.62</v>
      </c>
      <c r="Q369">
        <v>2768.0499999999997</v>
      </c>
      <c r="R369">
        <v>2775.8599999999997</v>
      </c>
      <c r="S369">
        <v>2791.4799999999996</v>
      </c>
      <c r="T369">
        <v>2807.1</v>
      </c>
      <c r="U369">
        <v>2838.58</v>
      </c>
      <c r="V369">
        <v>2846.45</v>
      </c>
      <c r="W369">
        <v>2870.06</v>
      </c>
      <c r="X369">
        <v>2885.8</v>
      </c>
      <c r="Y369">
        <v>2901.8</v>
      </c>
      <c r="Z369">
        <v>2925.8</v>
      </c>
      <c r="AA369">
        <v>2933.8</v>
      </c>
      <c r="AB369">
        <v>2965.8</v>
      </c>
      <c r="AC369">
        <v>3006.45</v>
      </c>
      <c r="AD369">
        <v>3047.1</v>
      </c>
      <c r="AE369">
        <v>3088.55</v>
      </c>
      <c r="AF369">
        <v>3130</v>
      </c>
      <c r="AG369">
        <v>3172.25</v>
      </c>
      <c r="AH369">
        <v>3214.5</v>
      </c>
      <c r="AI369">
        <v>3257.65</v>
      </c>
      <c r="AJ369">
        <v>3300.8</v>
      </c>
      <c r="AK369">
        <v>3344.75</v>
      </c>
      <c r="AL369">
        <v>3388.7</v>
      </c>
      <c r="AS369">
        <v>6500</v>
      </c>
    </row>
    <row r="370" spans="1:45" x14ac:dyDescent="0.3">
      <c r="A370">
        <v>300</v>
      </c>
      <c r="B370">
        <v>133.54</v>
      </c>
      <c r="C370" t="s">
        <v>19</v>
      </c>
      <c r="D370">
        <v>561.42899999999997</v>
      </c>
      <c r="E370">
        <v>2724.7</v>
      </c>
      <c r="F370" t="s">
        <v>24</v>
      </c>
      <c r="G370" t="s">
        <v>21</v>
      </c>
      <c r="H370" t="s">
        <v>21</v>
      </c>
      <c r="I370">
        <v>2760.4</v>
      </c>
      <c r="J370">
        <v>2813.5</v>
      </c>
      <c r="K370">
        <v>2865.5</v>
      </c>
      <c r="L370">
        <v>2906.62</v>
      </c>
      <c r="M370">
        <v>2916.9</v>
      </c>
      <c r="N370">
        <v>2947.5</v>
      </c>
      <c r="O370">
        <v>2967.9</v>
      </c>
      <c r="P370">
        <v>2988.26</v>
      </c>
      <c r="Q370">
        <v>3018.8</v>
      </c>
      <c r="R370">
        <v>3028.98</v>
      </c>
      <c r="S370">
        <v>3049.34</v>
      </c>
      <c r="T370">
        <v>3069.7</v>
      </c>
      <c r="U370">
        <v>3110.58</v>
      </c>
      <c r="V370">
        <v>3120.8</v>
      </c>
      <c r="W370">
        <v>3151.46</v>
      </c>
      <c r="X370">
        <v>3171.9</v>
      </c>
      <c r="Y370">
        <v>3192.56</v>
      </c>
      <c r="Z370">
        <v>3223.5499999999997</v>
      </c>
      <c r="AA370">
        <v>3233.8799999999997</v>
      </c>
      <c r="AB370">
        <v>3275.2</v>
      </c>
      <c r="AC370">
        <v>3327.5</v>
      </c>
      <c r="AD370">
        <v>3379.8</v>
      </c>
      <c r="AE370">
        <v>3432.9</v>
      </c>
      <c r="AF370">
        <v>3486</v>
      </c>
      <c r="AG370">
        <v>3539.85</v>
      </c>
      <c r="AH370">
        <v>3593.7</v>
      </c>
      <c r="AI370">
        <v>3648.45</v>
      </c>
      <c r="AJ370">
        <v>3703.2</v>
      </c>
      <c r="AK370">
        <v>3758.7</v>
      </c>
      <c r="AL370">
        <v>3814.2</v>
      </c>
      <c r="AS370">
        <v>6600</v>
      </c>
    </row>
    <row r="371" spans="1:45" x14ac:dyDescent="0.3">
      <c r="A371">
        <v>300</v>
      </c>
      <c r="B371">
        <v>133.54</v>
      </c>
      <c r="C371" t="s">
        <v>20</v>
      </c>
      <c r="D371">
        <v>1.6716</v>
      </c>
      <c r="E371">
        <v>6.9908999999999999</v>
      </c>
      <c r="F371" t="s">
        <v>21</v>
      </c>
      <c r="G371" t="s">
        <v>21</v>
      </c>
      <c r="H371" t="s">
        <v>21</v>
      </c>
      <c r="I371">
        <v>7.0770999999999997</v>
      </c>
      <c r="J371">
        <v>7.1989999999999998</v>
      </c>
      <c r="K371">
        <v>7.3118999999999996</v>
      </c>
      <c r="L371">
        <v>7.3965399999999999</v>
      </c>
      <c r="M371">
        <v>7.4177</v>
      </c>
      <c r="N371">
        <v>7.4776400000000001</v>
      </c>
      <c r="O371">
        <v>7.5175999999999998</v>
      </c>
      <c r="P371">
        <v>7.5547599999999999</v>
      </c>
      <c r="Q371">
        <v>7.6105</v>
      </c>
      <c r="R371">
        <v>7.6290800000000001</v>
      </c>
      <c r="S371">
        <v>7.6662400000000002</v>
      </c>
      <c r="T371">
        <v>7.7034000000000002</v>
      </c>
      <c r="U371">
        <v>7.7717999999999998</v>
      </c>
      <c r="V371">
        <v>7.7888999999999999</v>
      </c>
      <c r="W371">
        <v>7.8401999999999994</v>
      </c>
      <c r="X371">
        <v>7.8743999999999996</v>
      </c>
      <c r="Y371">
        <v>7.9062799999999998</v>
      </c>
      <c r="Z371">
        <v>7.9540999999999995</v>
      </c>
      <c r="AA371">
        <v>7.9700399999999991</v>
      </c>
      <c r="AB371">
        <v>8.0337999999999994</v>
      </c>
      <c r="AC371">
        <v>8.1087999999999987</v>
      </c>
      <c r="AD371">
        <v>8.1837999999999997</v>
      </c>
      <c r="AE371">
        <v>8.2547499999999996</v>
      </c>
      <c r="AF371">
        <v>8.3256999999999994</v>
      </c>
      <c r="AG371">
        <v>8.3932500000000001</v>
      </c>
      <c r="AH371">
        <v>8.4608000000000008</v>
      </c>
      <c r="AI371">
        <v>8.5253000000000014</v>
      </c>
      <c r="AJ371">
        <v>8.5898000000000003</v>
      </c>
      <c r="AK371">
        <v>8.6516500000000001</v>
      </c>
      <c r="AL371">
        <v>8.7134999999999998</v>
      </c>
      <c r="AS371">
        <v>6700</v>
      </c>
    </row>
    <row r="372" spans="1:45" x14ac:dyDescent="0.3">
      <c r="A372">
        <v>325</v>
      </c>
      <c r="B372">
        <v>136.29</v>
      </c>
      <c r="C372" t="s">
        <v>0</v>
      </c>
      <c r="D372">
        <v>1.0760000000000001</v>
      </c>
      <c r="E372">
        <v>561.75</v>
      </c>
      <c r="F372" t="s">
        <v>21</v>
      </c>
      <c r="G372" t="s">
        <v>21</v>
      </c>
      <c r="H372" t="s">
        <v>21</v>
      </c>
      <c r="I372">
        <v>583.58000000000004</v>
      </c>
      <c r="J372">
        <v>622.41</v>
      </c>
      <c r="K372">
        <v>660.33</v>
      </c>
      <c r="L372">
        <v>690.22</v>
      </c>
      <c r="M372">
        <v>697.61750000000006</v>
      </c>
      <c r="N372">
        <v>719.81</v>
      </c>
      <c r="O372">
        <v>734.49499999999989</v>
      </c>
      <c r="P372">
        <v>749.18</v>
      </c>
      <c r="Q372">
        <v>771.08749999999998</v>
      </c>
      <c r="R372">
        <v>778.39</v>
      </c>
      <c r="S372">
        <v>792.93000000000006</v>
      </c>
      <c r="T372">
        <v>807.47</v>
      </c>
      <c r="U372">
        <v>836.43799999999999</v>
      </c>
      <c r="V372">
        <v>843.68</v>
      </c>
      <c r="W372">
        <v>865.33999999999992</v>
      </c>
      <c r="X372">
        <v>879.78</v>
      </c>
      <c r="Y372">
        <v>894.17</v>
      </c>
      <c r="Z372">
        <v>915.755</v>
      </c>
      <c r="AA372">
        <v>922.95</v>
      </c>
      <c r="AB372">
        <v>951.73</v>
      </c>
      <c r="AC372">
        <v>987.61500000000001</v>
      </c>
      <c r="AD372">
        <v>1023.5</v>
      </c>
      <c r="AE372">
        <v>1059.25</v>
      </c>
      <c r="AF372">
        <v>1095</v>
      </c>
      <c r="AG372">
        <v>1130.75</v>
      </c>
      <c r="AH372">
        <v>1166.5</v>
      </c>
      <c r="AI372">
        <v>1202.2</v>
      </c>
      <c r="AJ372">
        <v>1237.9000000000001</v>
      </c>
      <c r="AK372">
        <v>1273.5500000000002</v>
      </c>
      <c r="AL372">
        <v>1309.2</v>
      </c>
      <c r="AS372">
        <v>6800</v>
      </c>
    </row>
    <row r="373" spans="1:45" x14ac:dyDescent="0.3">
      <c r="A373">
        <v>325</v>
      </c>
      <c r="B373">
        <v>136.29</v>
      </c>
      <c r="C373" t="s">
        <v>18</v>
      </c>
      <c r="D373">
        <v>572.84699999999998</v>
      </c>
      <c r="E373">
        <v>2545.6999999999998</v>
      </c>
      <c r="F373" t="s">
        <v>21</v>
      </c>
      <c r="G373" t="s">
        <v>21</v>
      </c>
      <c r="H373" t="s">
        <v>21</v>
      </c>
      <c r="I373">
        <v>2568.6999999999998</v>
      </c>
      <c r="J373">
        <v>2609.6</v>
      </c>
      <c r="K373">
        <v>2649.6</v>
      </c>
      <c r="L373">
        <v>2681.2</v>
      </c>
      <c r="M373">
        <v>2689.0749999999998</v>
      </c>
      <c r="N373">
        <v>2712.7</v>
      </c>
      <c r="O373">
        <v>2728.35</v>
      </c>
      <c r="P373">
        <v>2744</v>
      </c>
      <c r="Q373">
        <v>2767.4750000000004</v>
      </c>
      <c r="R373">
        <v>2775.3</v>
      </c>
      <c r="S373">
        <v>2790.95</v>
      </c>
      <c r="T373">
        <v>2806.6</v>
      </c>
      <c r="U373">
        <v>2838.04</v>
      </c>
      <c r="V373">
        <v>2845.9</v>
      </c>
      <c r="W373">
        <v>2869.66</v>
      </c>
      <c r="X373">
        <v>2885.5</v>
      </c>
      <c r="Y373">
        <v>2901.5</v>
      </c>
      <c r="Z373">
        <v>2925.5</v>
      </c>
      <c r="AA373">
        <v>2933.5</v>
      </c>
      <c r="AB373">
        <v>2965.5</v>
      </c>
      <c r="AC373">
        <v>3006.2</v>
      </c>
      <c r="AD373">
        <v>3046.9</v>
      </c>
      <c r="AE373">
        <v>3088.3500000000004</v>
      </c>
      <c r="AF373">
        <v>3129.8</v>
      </c>
      <c r="AG373">
        <v>3172.1000000000004</v>
      </c>
      <c r="AH373">
        <v>3214.4</v>
      </c>
      <c r="AI373">
        <v>3257.5</v>
      </c>
      <c r="AJ373">
        <v>3300.6</v>
      </c>
      <c r="AK373">
        <v>3344.6</v>
      </c>
      <c r="AL373">
        <v>3388.6</v>
      </c>
      <c r="AS373">
        <v>7000</v>
      </c>
    </row>
    <row r="374" spans="1:45" x14ac:dyDescent="0.3">
      <c r="A374">
        <v>325</v>
      </c>
      <c r="B374">
        <v>136.29</v>
      </c>
      <c r="C374" t="s">
        <v>19</v>
      </c>
      <c r="D374">
        <v>573.197</v>
      </c>
      <c r="E374">
        <v>2728.3</v>
      </c>
      <c r="F374" t="s">
        <v>21</v>
      </c>
      <c r="G374" t="s">
        <v>21</v>
      </c>
      <c r="H374" t="s">
        <v>21</v>
      </c>
      <c r="I374">
        <v>2758.4</v>
      </c>
      <c r="J374">
        <v>2811.9</v>
      </c>
      <c r="K374">
        <v>2864.2</v>
      </c>
      <c r="L374">
        <v>2905.6</v>
      </c>
      <c r="M374">
        <v>2915.85</v>
      </c>
      <c r="N374">
        <v>2946.6</v>
      </c>
      <c r="O374">
        <v>2967.05</v>
      </c>
      <c r="P374">
        <v>2987.5</v>
      </c>
      <c r="Q374">
        <v>3018.0249999999996</v>
      </c>
      <c r="R374">
        <v>3028.2</v>
      </c>
      <c r="S374">
        <v>3048.6</v>
      </c>
      <c r="T374">
        <v>3069</v>
      </c>
      <c r="U374">
        <v>3109.88</v>
      </c>
      <c r="V374">
        <v>3120.1</v>
      </c>
      <c r="W374">
        <v>3150.88</v>
      </c>
      <c r="X374">
        <v>3171.4</v>
      </c>
      <c r="Y374">
        <v>3192.08</v>
      </c>
      <c r="Z374">
        <v>3223.1</v>
      </c>
      <c r="AA374">
        <v>3233.44</v>
      </c>
      <c r="AB374">
        <v>3274.8</v>
      </c>
      <c r="AC374">
        <v>3327.15</v>
      </c>
      <c r="AD374">
        <v>3379.5</v>
      </c>
      <c r="AE374">
        <v>3432.6</v>
      </c>
      <c r="AF374">
        <v>3485.7</v>
      </c>
      <c r="AG374">
        <v>3539.6</v>
      </c>
      <c r="AH374">
        <v>3593.5</v>
      </c>
      <c r="AI374">
        <v>3648.2</v>
      </c>
      <c r="AJ374">
        <v>3702.9</v>
      </c>
      <c r="AK374">
        <v>3758.5</v>
      </c>
      <c r="AL374">
        <v>3814.1</v>
      </c>
      <c r="AS374">
        <v>7200</v>
      </c>
    </row>
    <row r="375" spans="1:45" x14ac:dyDescent="0.3">
      <c r="A375">
        <v>325</v>
      </c>
      <c r="B375">
        <v>136.29</v>
      </c>
      <c r="C375" t="s">
        <v>20</v>
      </c>
      <c r="D375">
        <v>1.7003999999999999</v>
      </c>
      <c r="E375">
        <v>6.9640000000000004</v>
      </c>
      <c r="F375" t="s">
        <v>21</v>
      </c>
      <c r="G375" t="s">
        <v>21</v>
      </c>
      <c r="H375" t="s">
        <v>21</v>
      </c>
      <c r="I375">
        <v>7.0362999999999998</v>
      </c>
      <c r="J375">
        <v>7.1592000000000002</v>
      </c>
      <c r="K375">
        <v>7.2728999999999999</v>
      </c>
      <c r="L375">
        <v>7.3585000000000003</v>
      </c>
      <c r="M375">
        <v>7.3788750000000007</v>
      </c>
      <c r="N375">
        <v>7.44</v>
      </c>
      <c r="O375">
        <v>7.47905</v>
      </c>
      <c r="P375">
        <v>7.5180999999999996</v>
      </c>
      <c r="Q375">
        <v>7.5745000000000005</v>
      </c>
      <c r="R375">
        <v>7.5933000000000002</v>
      </c>
      <c r="S375">
        <v>7.6295000000000002</v>
      </c>
      <c r="T375">
        <v>7.6657000000000002</v>
      </c>
      <c r="U375">
        <v>7.7355400000000003</v>
      </c>
      <c r="V375">
        <v>7.7530000000000001</v>
      </c>
      <c r="W375">
        <v>7.8033400000000004</v>
      </c>
      <c r="X375">
        <v>7.8369</v>
      </c>
      <c r="Y375">
        <v>7.8688200000000004</v>
      </c>
      <c r="Z375">
        <v>7.9167000000000005</v>
      </c>
      <c r="AA375">
        <v>7.9326600000000003</v>
      </c>
      <c r="AB375">
        <v>7.9965000000000002</v>
      </c>
      <c r="AC375">
        <v>8.0715000000000003</v>
      </c>
      <c r="AD375">
        <v>8.1464999999999996</v>
      </c>
      <c r="AE375">
        <v>8.2175000000000011</v>
      </c>
      <c r="AF375">
        <v>8.2885000000000009</v>
      </c>
      <c r="AG375">
        <v>8.3560499999999998</v>
      </c>
      <c r="AH375">
        <v>8.4236000000000004</v>
      </c>
      <c r="AI375">
        <v>8.488150000000001</v>
      </c>
      <c r="AJ375">
        <v>8.5526999999999997</v>
      </c>
      <c r="AK375">
        <v>8.6145499999999995</v>
      </c>
      <c r="AL375">
        <v>8.6763999999999992</v>
      </c>
      <c r="AS375">
        <v>7400</v>
      </c>
    </row>
    <row r="376" spans="1:45" x14ac:dyDescent="0.3">
      <c r="A376">
        <v>350</v>
      </c>
      <c r="B376">
        <v>138.87</v>
      </c>
      <c r="C376" t="s">
        <v>0</v>
      </c>
      <c r="D376">
        <v>1.079</v>
      </c>
      <c r="E376">
        <v>524</v>
      </c>
      <c r="F376" t="s">
        <v>21</v>
      </c>
      <c r="G376" t="s">
        <v>21</v>
      </c>
      <c r="H376" t="s">
        <v>21</v>
      </c>
      <c r="I376">
        <v>540.58000000000004</v>
      </c>
      <c r="J376">
        <v>576.9</v>
      </c>
      <c r="K376">
        <v>612.30999999999995</v>
      </c>
      <c r="L376">
        <v>640.17999999999995</v>
      </c>
      <c r="M376">
        <v>647.07249999999999</v>
      </c>
      <c r="N376">
        <v>667.75</v>
      </c>
      <c r="O376">
        <v>681.42000000000007</v>
      </c>
      <c r="P376">
        <v>695.09</v>
      </c>
      <c r="Q376">
        <v>715.47500000000002</v>
      </c>
      <c r="R376">
        <v>722.27</v>
      </c>
      <c r="S376">
        <v>735.8</v>
      </c>
      <c r="T376">
        <v>749.33</v>
      </c>
      <c r="U376">
        <v>776.274</v>
      </c>
      <c r="V376">
        <v>783.01</v>
      </c>
      <c r="W376">
        <v>803.14600000000007</v>
      </c>
      <c r="X376">
        <v>816.57</v>
      </c>
      <c r="Y376">
        <v>829.94600000000003</v>
      </c>
      <c r="Z376">
        <v>850.01</v>
      </c>
      <c r="AA376">
        <v>856.69799999999998</v>
      </c>
      <c r="AB376">
        <v>883.45</v>
      </c>
      <c r="AC376">
        <v>916.78</v>
      </c>
      <c r="AD376">
        <v>950.11</v>
      </c>
      <c r="AE376">
        <v>983.35500000000002</v>
      </c>
      <c r="AF376">
        <v>1016.6</v>
      </c>
      <c r="AG376">
        <v>1049.8</v>
      </c>
      <c r="AH376">
        <v>1083</v>
      </c>
      <c r="AI376">
        <v>1116.1500000000001</v>
      </c>
      <c r="AJ376">
        <v>1149.3</v>
      </c>
      <c r="AK376">
        <v>1182.4499999999998</v>
      </c>
      <c r="AL376">
        <v>1215.5999999999999</v>
      </c>
      <c r="AS376">
        <v>7600</v>
      </c>
    </row>
    <row r="377" spans="1:45" x14ac:dyDescent="0.3">
      <c r="A377">
        <v>350</v>
      </c>
      <c r="B377">
        <v>138.87</v>
      </c>
      <c r="C377" t="s">
        <v>18</v>
      </c>
      <c r="D377">
        <v>583.89200000000005</v>
      </c>
      <c r="E377">
        <v>2548.1999999999998</v>
      </c>
      <c r="F377" t="s">
        <v>21</v>
      </c>
      <c r="G377" t="s">
        <v>21</v>
      </c>
      <c r="H377" t="s">
        <v>21</v>
      </c>
      <c r="I377">
        <v>2567.1</v>
      </c>
      <c r="J377">
        <v>2608.3000000000002</v>
      </c>
      <c r="K377">
        <v>2648.6</v>
      </c>
      <c r="L377">
        <v>2680.4</v>
      </c>
      <c r="M377">
        <v>2688.3</v>
      </c>
      <c r="N377">
        <v>2712</v>
      </c>
      <c r="O377">
        <v>2727.7</v>
      </c>
      <c r="P377">
        <v>2743.4</v>
      </c>
      <c r="Q377">
        <v>2766.9500000000003</v>
      </c>
      <c r="R377">
        <v>2774.8</v>
      </c>
      <c r="S377">
        <v>2790.5</v>
      </c>
      <c r="T377">
        <v>2806.2</v>
      </c>
      <c r="U377">
        <v>2837.72</v>
      </c>
      <c r="V377">
        <v>2845.6</v>
      </c>
      <c r="W377">
        <v>2869.2999999999997</v>
      </c>
      <c r="X377">
        <v>2885.1</v>
      </c>
      <c r="Y377">
        <v>2901.12</v>
      </c>
      <c r="Z377">
        <v>2925.1499999999996</v>
      </c>
      <c r="AA377">
        <v>2933.16</v>
      </c>
      <c r="AB377">
        <v>2965.2</v>
      </c>
      <c r="AC377">
        <v>3005.8999999999996</v>
      </c>
      <c r="AD377">
        <v>3046.6</v>
      </c>
      <c r="AE377">
        <v>3088.1</v>
      </c>
      <c r="AF377">
        <v>3129.6</v>
      </c>
      <c r="AG377">
        <v>3171.8999999999996</v>
      </c>
      <c r="AH377">
        <v>3214.2</v>
      </c>
      <c r="AI377">
        <v>3257.35</v>
      </c>
      <c r="AJ377">
        <v>3300.5</v>
      </c>
      <c r="AK377">
        <v>3344.45</v>
      </c>
      <c r="AL377">
        <v>3388.4</v>
      </c>
      <c r="AS377">
        <v>7800</v>
      </c>
    </row>
    <row r="378" spans="1:45" x14ac:dyDescent="0.3">
      <c r="A378">
        <v>350</v>
      </c>
      <c r="B378">
        <v>138.87</v>
      </c>
      <c r="C378" t="s">
        <v>19</v>
      </c>
      <c r="D378">
        <v>584.27</v>
      </c>
      <c r="E378">
        <v>2731.6</v>
      </c>
      <c r="F378" t="s">
        <v>21</v>
      </c>
      <c r="G378" t="s">
        <v>21</v>
      </c>
      <c r="H378" t="s">
        <v>21</v>
      </c>
      <c r="I378">
        <v>2756.3</v>
      </c>
      <c r="J378">
        <v>2810.3</v>
      </c>
      <c r="K378">
        <v>2863</v>
      </c>
      <c r="L378">
        <v>2904.5</v>
      </c>
      <c r="M378">
        <v>2914.8</v>
      </c>
      <c r="N378">
        <v>2945.7</v>
      </c>
      <c r="O378">
        <v>2966.2</v>
      </c>
      <c r="P378">
        <v>2986.7</v>
      </c>
      <c r="Q378">
        <v>3017.375</v>
      </c>
      <c r="R378">
        <v>3027.6</v>
      </c>
      <c r="S378">
        <v>3048</v>
      </c>
      <c r="T378">
        <v>3068.4</v>
      </c>
      <c r="U378">
        <v>3109.36</v>
      </c>
      <c r="V378">
        <v>3119.6</v>
      </c>
      <c r="W378">
        <v>3150.38</v>
      </c>
      <c r="X378">
        <v>3170.9</v>
      </c>
      <c r="Y378">
        <v>3191.6</v>
      </c>
      <c r="Z378">
        <v>3222.65</v>
      </c>
      <c r="AA378">
        <v>3233</v>
      </c>
      <c r="AB378">
        <v>3274.4</v>
      </c>
      <c r="AC378">
        <v>3326.8</v>
      </c>
      <c r="AD378">
        <v>3379.2</v>
      </c>
      <c r="AE378">
        <v>3432.3</v>
      </c>
      <c r="AF378">
        <v>3485.4</v>
      </c>
      <c r="AG378">
        <v>3539.3500000000004</v>
      </c>
      <c r="AH378">
        <v>3593.3</v>
      </c>
      <c r="AI378">
        <v>3648</v>
      </c>
      <c r="AJ378">
        <v>3702.7</v>
      </c>
      <c r="AK378">
        <v>3758.3</v>
      </c>
      <c r="AL378">
        <v>3813.9</v>
      </c>
      <c r="AS378">
        <v>8000</v>
      </c>
    </row>
    <row r="379" spans="1:45" x14ac:dyDescent="0.3">
      <c r="A379">
        <v>350</v>
      </c>
      <c r="B379">
        <v>138.87</v>
      </c>
      <c r="C379" t="s">
        <v>20</v>
      </c>
      <c r="D379">
        <v>1.7273000000000001</v>
      </c>
      <c r="E379">
        <v>6.9391999999999996</v>
      </c>
      <c r="F379" t="s">
        <v>21</v>
      </c>
      <c r="G379" t="s">
        <v>21</v>
      </c>
      <c r="H379" t="s">
        <v>21</v>
      </c>
      <c r="I379">
        <v>6.9981999999999998</v>
      </c>
      <c r="J379">
        <v>7.1222000000000003</v>
      </c>
      <c r="K379">
        <v>7.2366000000000001</v>
      </c>
      <c r="L379">
        <v>7.3226000000000004</v>
      </c>
      <c r="M379">
        <v>7.3430750000000007</v>
      </c>
      <c r="N379">
        <v>7.4044999999999996</v>
      </c>
      <c r="O379">
        <v>7.4436499999999999</v>
      </c>
      <c r="P379">
        <v>7.4828000000000001</v>
      </c>
      <c r="Q379">
        <v>7.5392749999999999</v>
      </c>
      <c r="R379">
        <v>7.5580999999999996</v>
      </c>
      <c r="S379">
        <v>7.5944000000000003</v>
      </c>
      <c r="T379">
        <v>7.6307</v>
      </c>
      <c r="U379">
        <v>7.7006199999999998</v>
      </c>
      <c r="V379">
        <v>7.7180999999999997</v>
      </c>
      <c r="W379">
        <v>7.7685599999999999</v>
      </c>
      <c r="X379">
        <v>7.8022</v>
      </c>
      <c r="Y379">
        <v>7.8341399999999997</v>
      </c>
      <c r="Z379">
        <v>7.8820499999999996</v>
      </c>
      <c r="AA379">
        <v>7.8980199999999998</v>
      </c>
      <c r="AB379">
        <v>7.9619</v>
      </c>
      <c r="AC379">
        <v>8.0369500000000009</v>
      </c>
      <c r="AD379">
        <v>8.1120000000000001</v>
      </c>
      <c r="AE379">
        <v>8.1829999999999998</v>
      </c>
      <c r="AF379">
        <v>8.2539999999999996</v>
      </c>
      <c r="AG379">
        <v>8.3216000000000001</v>
      </c>
      <c r="AH379">
        <v>8.3892000000000007</v>
      </c>
      <c r="AI379">
        <v>8.4537499999999994</v>
      </c>
      <c r="AJ379">
        <v>8.5183</v>
      </c>
      <c r="AK379">
        <v>8.5801999999999996</v>
      </c>
      <c r="AL379">
        <v>8.6420999999999992</v>
      </c>
      <c r="AS379">
        <v>8200</v>
      </c>
    </row>
    <row r="380" spans="1:45" x14ac:dyDescent="0.3">
      <c r="A380">
        <v>375</v>
      </c>
      <c r="B380">
        <v>141.31</v>
      </c>
      <c r="C380" t="s">
        <v>0</v>
      </c>
      <c r="D380">
        <v>1.081</v>
      </c>
      <c r="E380">
        <v>491.13</v>
      </c>
      <c r="F380" t="s">
        <v>21</v>
      </c>
      <c r="G380" t="s">
        <v>21</v>
      </c>
      <c r="H380" t="s">
        <v>21</v>
      </c>
      <c r="I380">
        <v>503.29</v>
      </c>
      <c r="J380">
        <v>537.46</v>
      </c>
      <c r="K380">
        <v>570.69000000000005</v>
      </c>
      <c r="L380">
        <v>596.80999999999995</v>
      </c>
      <c r="M380">
        <v>603.26249999999993</v>
      </c>
      <c r="N380">
        <v>622.62</v>
      </c>
      <c r="O380">
        <v>635.42000000000007</v>
      </c>
      <c r="P380">
        <v>648.22</v>
      </c>
      <c r="Q380">
        <v>667.28499999999997</v>
      </c>
      <c r="R380">
        <v>673.64</v>
      </c>
      <c r="S380">
        <v>686.29</v>
      </c>
      <c r="T380">
        <v>698.94</v>
      </c>
      <c r="U380">
        <v>724.12400000000002</v>
      </c>
      <c r="V380">
        <v>730.42</v>
      </c>
      <c r="W380">
        <v>749.24199999999996</v>
      </c>
      <c r="X380">
        <v>761.79</v>
      </c>
      <c r="Y380">
        <v>774.28800000000001</v>
      </c>
      <c r="Z380">
        <v>793.03499999999997</v>
      </c>
      <c r="AA380">
        <v>799.28399999999999</v>
      </c>
      <c r="AB380">
        <v>824.28</v>
      </c>
      <c r="AC380">
        <v>855.41</v>
      </c>
      <c r="AD380">
        <v>886.54</v>
      </c>
      <c r="AE380">
        <v>917.6</v>
      </c>
      <c r="AF380">
        <v>948.66</v>
      </c>
      <c r="AG380">
        <v>979.68</v>
      </c>
      <c r="AH380">
        <v>1010.7</v>
      </c>
      <c r="AI380">
        <v>1041.6500000000001</v>
      </c>
      <c r="AJ380">
        <v>1072.5999999999999</v>
      </c>
      <c r="AK380">
        <v>1103.55</v>
      </c>
      <c r="AL380">
        <v>1134.5</v>
      </c>
      <c r="AS380">
        <v>8400</v>
      </c>
    </row>
    <row r="381" spans="1:45" x14ac:dyDescent="0.3">
      <c r="A381">
        <v>375</v>
      </c>
      <c r="B381">
        <v>141.31</v>
      </c>
      <c r="C381" t="s">
        <v>18</v>
      </c>
      <c r="D381">
        <v>594.33199999999999</v>
      </c>
      <c r="E381">
        <v>2550.6</v>
      </c>
      <c r="F381" t="s">
        <v>21</v>
      </c>
      <c r="G381" t="s">
        <v>21</v>
      </c>
      <c r="H381" t="s">
        <v>21</v>
      </c>
      <c r="I381">
        <v>2565.4</v>
      </c>
      <c r="J381">
        <v>2607.1</v>
      </c>
      <c r="K381">
        <v>2647.7</v>
      </c>
      <c r="L381">
        <v>2679.6</v>
      </c>
      <c r="M381">
        <v>2687.5250000000001</v>
      </c>
      <c r="N381">
        <v>2711.3</v>
      </c>
      <c r="O381">
        <v>2727.05</v>
      </c>
      <c r="P381">
        <v>2742.8</v>
      </c>
      <c r="Q381">
        <v>2766.4250000000002</v>
      </c>
      <c r="R381">
        <v>2774.3</v>
      </c>
      <c r="S381">
        <v>2790</v>
      </c>
      <c r="T381">
        <v>2805.7</v>
      </c>
      <c r="U381">
        <v>2837.2999999999997</v>
      </c>
      <c r="V381">
        <v>2845.2</v>
      </c>
      <c r="W381">
        <v>2868.96</v>
      </c>
      <c r="X381">
        <v>2884.8</v>
      </c>
      <c r="Y381">
        <v>2900.82</v>
      </c>
      <c r="Z381">
        <v>2924.8500000000004</v>
      </c>
      <c r="AA381">
        <v>2932.86</v>
      </c>
      <c r="AB381">
        <v>2964.9</v>
      </c>
      <c r="AC381">
        <v>3005.65</v>
      </c>
      <c r="AD381">
        <v>3046.4</v>
      </c>
      <c r="AE381">
        <v>3087.9</v>
      </c>
      <c r="AF381">
        <v>3129.4</v>
      </c>
      <c r="AG381">
        <v>3171.7</v>
      </c>
      <c r="AH381">
        <v>3214</v>
      </c>
      <c r="AI381">
        <v>3257.15</v>
      </c>
      <c r="AJ381">
        <v>3300.3</v>
      </c>
      <c r="AK381">
        <v>3344.3</v>
      </c>
      <c r="AL381">
        <v>3388.3</v>
      </c>
      <c r="AS381">
        <v>8600</v>
      </c>
    </row>
    <row r="382" spans="1:45" x14ac:dyDescent="0.3">
      <c r="A382">
        <v>375</v>
      </c>
      <c r="B382">
        <v>141.31</v>
      </c>
      <c r="C382" t="s">
        <v>19</v>
      </c>
      <c r="D382">
        <v>594.73699999999997</v>
      </c>
      <c r="E382">
        <v>2734.7</v>
      </c>
      <c r="F382" t="s">
        <v>21</v>
      </c>
      <c r="G382" t="s">
        <v>21</v>
      </c>
      <c r="H382" t="s">
        <v>21</v>
      </c>
      <c r="I382">
        <v>2754.1</v>
      </c>
      <c r="J382">
        <v>2808.6</v>
      </c>
      <c r="K382">
        <v>2861.7</v>
      </c>
      <c r="L382">
        <v>2903.4</v>
      </c>
      <c r="M382">
        <v>2913.75</v>
      </c>
      <c r="N382">
        <v>2944.8</v>
      </c>
      <c r="O382">
        <v>2965.3500000000004</v>
      </c>
      <c r="P382">
        <v>2985.9</v>
      </c>
      <c r="Q382">
        <v>3016.65</v>
      </c>
      <c r="R382">
        <v>3026.9</v>
      </c>
      <c r="S382">
        <v>3047.3500000000004</v>
      </c>
      <c r="T382">
        <v>3067.8</v>
      </c>
      <c r="U382">
        <v>3108.84</v>
      </c>
      <c r="V382">
        <v>3119.1</v>
      </c>
      <c r="W382">
        <v>3149.94</v>
      </c>
      <c r="X382">
        <v>3170.5</v>
      </c>
      <c r="Y382">
        <v>3191.2</v>
      </c>
      <c r="Z382">
        <v>3222.25</v>
      </c>
      <c r="AA382">
        <v>3232.6</v>
      </c>
      <c r="AB382">
        <v>3274</v>
      </c>
      <c r="AC382">
        <v>3326.4</v>
      </c>
      <c r="AD382">
        <v>3378.8</v>
      </c>
      <c r="AE382">
        <v>3431.95</v>
      </c>
      <c r="AF382">
        <v>3485.1</v>
      </c>
      <c r="AG382">
        <v>3539.05</v>
      </c>
      <c r="AH382">
        <v>3593</v>
      </c>
      <c r="AI382">
        <v>3647.75</v>
      </c>
      <c r="AJ382">
        <v>3702.5</v>
      </c>
      <c r="AK382">
        <v>3758.1</v>
      </c>
      <c r="AL382">
        <v>3813.7</v>
      </c>
      <c r="AS382">
        <v>8800</v>
      </c>
    </row>
    <row r="383" spans="1:45" x14ac:dyDescent="0.3">
      <c r="A383">
        <v>375</v>
      </c>
      <c r="B383">
        <v>141.31</v>
      </c>
      <c r="C383" t="s">
        <v>20</v>
      </c>
      <c r="D383">
        <v>1.7525999999999999</v>
      </c>
      <c r="E383">
        <v>6.9160000000000004</v>
      </c>
      <c r="F383" t="s">
        <v>21</v>
      </c>
      <c r="G383" t="s">
        <v>21</v>
      </c>
      <c r="H383" t="s">
        <v>21</v>
      </c>
      <c r="I383">
        <v>6.9623999999999997</v>
      </c>
      <c r="J383">
        <v>7.0875000000000004</v>
      </c>
      <c r="K383">
        <v>7.2027000000000001</v>
      </c>
      <c r="L383">
        <v>7.2891000000000004</v>
      </c>
      <c r="M383">
        <v>7.3096500000000004</v>
      </c>
      <c r="N383">
        <v>7.3712999999999997</v>
      </c>
      <c r="O383">
        <v>7.4106000000000005</v>
      </c>
      <c r="P383">
        <v>7.4499000000000004</v>
      </c>
      <c r="Q383">
        <v>7.5065249999999999</v>
      </c>
      <c r="R383">
        <v>7.5254000000000003</v>
      </c>
      <c r="S383">
        <v>7.56175</v>
      </c>
      <c r="T383">
        <v>7.5980999999999996</v>
      </c>
      <c r="U383">
        <v>7.6680999999999999</v>
      </c>
      <c r="V383">
        <v>7.6856</v>
      </c>
      <c r="W383">
        <v>7.7361199999999997</v>
      </c>
      <c r="X383">
        <v>7.7698</v>
      </c>
      <c r="Y383">
        <v>7.8017599999999998</v>
      </c>
      <c r="Z383">
        <v>7.8496999999999995</v>
      </c>
      <c r="AA383">
        <v>7.8656799999999993</v>
      </c>
      <c r="AB383">
        <v>7.9295999999999998</v>
      </c>
      <c r="AC383">
        <v>8.0046999999999997</v>
      </c>
      <c r="AD383">
        <v>8.0798000000000005</v>
      </c>
      <c r="AE383">
        <v>8.1508500000000002</v>
      </c>
      <c r="AF383">
        <v>8.2218999999999998</v>
      </c>
      <c r="AG383">
        <v>8.2895000000000003</v>
      </c>
      <c r="AH383">
        <v>8.3571000000000009</v>
      </c>
      <c r="AI383">
        <v>8.4217000000000013</v>
      </c>
      <c r="AJ383">
        <v>8.4863</v>
      </c>
      <c r="AK383">
        <v>8.5481999999999996</v>
      </c>
      <c r="AL383">
        <v>8.6100999999999992</v>
      </c>
      <c r="AS383">
        <v>9000</v>
      </c>
    </row>
    <row r="384" spans="1:45" x14ac:dyDescent="0.3">
      <c r="A384">
        <v>400</v>
      </c>
      <c r="B384">
        <v>143.62</v>
      </c>
      <c r="C384" t="s">
        <v>0</v>
      </c>
      <c r="D384">
        <v>1.0840000000000001</v>
      </c>
      <c r="E384">
        <v>462.22</v>
      </c>
      <c r="F384" t="s">
        <v>21</v>
      </c>
      <c r="G384" t="s">
        <v>21</v>
      </c>
      <c r="H384" t="s">
        <v>21</v>
      </c>
      <c r="I384">
        <v>470.66</v>
      </c>
      <c r="J384">
        <v>502.93</v>
      </c>
      <c r="K384">
        <v>534.26</v>
      </c>
      <c r="L384">
        <v>558.85</v>
      </c>
      <c r="M384">
        <v>564.92250000000001</v>
      </c>
      <c r="N384">
        <v>583.14</v>
      </c>
      <c r="O384">
        <v>595.17000000000007</v>
      </c>
      <c r="P384">
        <v>607.20000000000005</v>
      </c>
      <c r="Q384">
        <v>625.11750000000006</v>
      </c>
      <c r="R384">
        <v>631.09</v>
      </c>
      <c r="S384">
        <v>642.97</v>
      </c>
      <c r="T384">
        <v>654.85</v>
      </c>
      <c r="U384">
        <v>678.49799999999993</v>
      </c>
      <c r="V384">
        <v>684.41</v>
      </c>
      <c r="W384">
        <v>702.07399999999996</v>
      </c>
      <c r="X384">
        <v>713.85</v>
      </c>
      <c r="Y384">
        <v>725.58</v>
      </c>
      <c r="Z384">
        <v>743.17500000000007</v>
      </c>
      <c r="AA384">
        <v>749.04000000000008</v>
      </c>
      <c r="AB384">
        <v>772.5</v>
      </c>
      <c r="AC384">
        <v>801.71</v>
      </c>
      <c r="AD384">
        <v>830.92</v>
      </c>
      <c r="AE384">
        <v>860.05500000000006</v>
      </c>
      <c r="AF384">
        <v>889.19</v>
      </c>
      <c r="AG384">
        <v>918.27</v>
      </c>
      <c r="AH384">
        <v>947.35</v>
      </c>
      <c r="AI384">
        <v>976.375</v>
      </c>
      <c r="AJ384">
        <v>1005.4</v>
      </c>
      <c r="AK384">
        <v>1034.4000000000001</v>
      </c>
      <c r="AL384">
        <v>1063.4000000000001</v>
      </c>
      <c r="AS384">
        <v>9200</v>
      </c>
    </row>
    <row r="385" spans="1:45" x14ac:dyDescent="0.3">
      <c r="A385">
        <v>400</v>
      </c>
      <c r="B385">
        <v>143.62</v>
      </c>
      <c r="C385" t="s">
        <v>18</v>
      </c>
      <c r="D385">
        <v>604.23699999999997</v>
      </c>
      <c r="E385">
        <v>2552.6999999999998</v>
      </c>
      <c r="F385" t="s">
        <v>21</v>
      </c>
      <c r="G385" t="s">
        <v>21</v>
      </c>
      <c r="H385" t="s">
        <v>21</v>
      </c>
      <c r="I385">
        <v>2563.6999999999998</v>
      </c>
      <c r="J385">
        <v>2605.8000000000002</v>
      </c>
      <c r="K385">
        <v>2646.7</v>
      </c>
      <c r="L385">
        <v>2678.8</v>
      </c>
      <c r="M385">
        <v>2686.75</v>
      </c>
      <c r="N385">
        <v>2710.6</v>
      </c>
      <c r="O385">
        <v>2726.3999999999996</v>
      </c>
      <c r="P385">
        <v>2742.2</v>
      </c>
      <c r="Q385">
        <v>2765.8249999999998</v>
      </c>
      <c r="R385">
        <v>2773.7</v>
      </c>
      <c r="S385">
        <v>2789.5</v>
      </c>
      <c r="T385">
        <v>2805.3</v>
      </c>
      <c r="U385">
        <v>2836.9</v>
      </c>
      <c r="V385">
        <v>2844.8</v>
      </c>
      <c r="W385">
        <v>2868.62</v>
      </c>
      <c r="X385">
        <v>2884.5</v>
      </c>
      <c r="Y385">
        <v>2900.52</v>
      </c>
      <c r="Z385">
        <v>2924.55</v>
      </c>
      <c r="AA385">
        <v>2932.56</v>
      </c>
      <c r="AB385">
        <v>2964.6</v>
      </c>
      <c r="AC385">
        <v>3005.3999999999996</v>
      </c>
      <c r="AD385">
        <v>3046.2</v>
      </c>
      <c r="AE385">
        <v>3087.7</v>
      </c>
      <c r="AF385">
        <v>3129.2</v>
      </c>
      <c r="AG385">
        <v>3171.5</v>
      </c>
      <c r="AH385">
        <v>3213.8</v>
      </c>
      <c r="AI385">
        <v>3257</v>
      </c>
      <c r="AJ385">
        <v>3300.2</v>
      </c>
      <c r="AK385">
        <v>3344.2</v>
      </c>
      <c r="AL385">
        <v>3388.2</v>
      </c>
      <c r="AS385">
        <v>9400</v>
      </c>
    </row>
    <row r="386" spans="1:45" x14ac:dyDescent="0.3">
      <c r="A386">
        <v>400</v>
      </c>
      <c r="B386">
        <v>143.62</v>
      </c>
      <c r="C386" t="s">
        <v>19</v>
      </c>
      <c r="D386">
        <v>604.66999999999996</v>
      </c>
      <c r="E386">
        <v>2737.6</v>
      </c>
      <c r="F386" t="s">
        <v>21</v>
      </c>
      <c r="G386" t="s">
        <v>21</v>
      </c>
      <c r="H386" t="s">
        <v>21</v>
      </c>
      <c r="I386">
        <v>2752</v>
      </c>
      <c r="J386">
        <v>2807</v>
      </c>
      <c r="K386">
        <v>2860.4</v>
      </c>
      <c r="L386">
        <v>2902.3</v>
      </c>
      <c r="M386">
        <v>2912.7000000000003</v>
      </c>
      <c r="N386">
        <v>2943.9</v>
      </c>
      <c r="O386">
        <v>2964.5</v>
      </c>
      <c r="P386">
        <v>2985.1</v>
      </c>
      <c r="Q386">
        <v>3015.9249999999997</v>
      </c>
      <c r="R386">
        <v>3026.2</v>
      </c>
      <c r="S386">
        <v>3046.7</v>
      </c>
      <c r="T386">
        <v>3067.2</v>
      </c>
      <c r="U386">
        <v>3108.24</v>
      </c>
      <c r="V386">
        <v>3118.5</v>
      </c>
      <c r="W386">
        <v>3149.4</v>
      </c>
      <c r="X386">
        <v>3170</v>
      </c>
      <c r="Y386">
        <v>3190.72</v>
      </c>
      <c r="Z386">
        <v>3221.7999999999997</v>
      </c>
      <c r="AA386">
        <v>3232.16</v>
      </c>
      <c r="AB386">
        <v>3273.6</v>
      </c>
      <c r="AC386">
        <v>3326.0499999999997</v>
      </c>
      <c r="AD386">
        <v>3378.5</v>
      </c>
      <c r="AE386">
        <v>3431.7</v>
      </c>
      <c r="AF386">
        <v>3484.9</v>
      </c>
      <c r="AG386">
        <v>3538.8500000000004</v>
      </c>
      <c r="AH386">
        <v>3592.8</v>
      </c>
      <c r="AI386">
        <v>3647.55</v>
      </c>
      <c r="AJ386">
        <v>3702.3</v>
      </c>
      <c r="AK386">
        <v>3757.9</v>
      </c>
      <c r="AL386">
        <v>3813.5</v>
      </c>
      <c r="AS386">
        <v>9600</v>
      </c>
    </row>
    <row r="387" spans="1:45" x14ac:dyDescent="0.3">
      <c r="A387">
        <v>400</v>
      </c>
      <c r="B387">
        <v>143.62</v>
      </c>
      <c r="C387" t="s">
        <v>20</v>
      </c>
      <c r="D387">
        <v>1.7764</v>
      </c>
      <c r="E387">
        <v>6.8943000000000003</v>
      </c>
      <c r="F387" t="s">
        <v>21</v>
      </c>
      <c r="G387" t="s">
        <v>21</v>
      </c>
      <c r="H387" t="s">
        <v>21</v>
      </c>
      <c r="I387">
        <v>6.9284999999999997</v>
      </c>
      <c r="J387">
        <v>7.0548000000000002</v>
      </c>
      <c r="K387">
        <v>7.1707999999999998</v>
      </c>
      <c r="L387">
        <v>7.2576000000000001</v>
      </c>
      <c r="M387">
        <v>7.2782499999999999</v>
      </c>
      <c r="N387">
        <v>7.3402000000000003</v>
      </c>
      <c r="O387">
        <v>7.3795999999999999</v>
      </c>
      <c r="P387">
        <v>7.4189999999999996</v>
      </c>
      <c r="Q387">
        <v>7.4757749999999996</v>
      </c>
      <c r="R387">
        <v>7.4946999999999999</v>
      </c>
      <c r="S387">
        <v>7.5311000000000003</v>
      </c>
      <c r="T387">
        <v>7.5674999999999999</v>
      </c>
      <c r="U387">
        <v>7.6376599999999994</v>
      </c>
      <c r="V387">
        <v>7.6551999999999998</v>
      </c>
      <c r="W387">
        <v>7.7057799999999999</v>
      </c>
      <c r="X387">
        <v>7.7394999999999996</v>
      </c>
      <c r="Y387">
        <v>7.7714799999999995</v>
      </c>
      <c r="Z387">
        <v>7.8194499999999998</v>
      </c>
      <c r="AA387">
        <v>7.8354400000000002</v>
      </c>
      <c r="AB387">
        <v>7.8994</v>
      </c>
      <c r="AC387">
        <v>7.9745499999999998</v>
      </c>
      <c r="AD387">
        <v>8.0496999999999996</v>
      </c>
      <c r="AE387">
        <v>8.1207999999999991</v>
      </c>
      <c r="AF387">
        <v>8.1919000000000004</v>
      </c>
      <c r="AG387">
        <v>8.2594999999999992</v>
      </c>
      <c r="AH387">
        <v>8.3270999999999997</v>
      </c>
      <c r="AI387">
        <v>8.3917000000000002</v>
      </c>
      <c r="AJ387">
        <v>8.4563000000000006</v>
      </c>
      <c r="AK387">
        <v>8.5182500000000001</v>
      </c>
      <c r="AL387">
        <v>8.5801999999999996</v>
      </c>
      <c r="AS387">
        <v>9800</v>
      </c>
    </row>
    <row r="388" spans="1:45" x14ac:dyDescent="0.3">
      <c r="A388">
        <v>425</v>
      </c>
      <c r="B388">
        <v>145.82</v>
      </c>
      <c r="C388" t="s">
        <v>0</v>
      </c>
      <c r="D388">
        <v>1.0860000000000001</v>
      </c>
      <c r="E388">
        <v>436.61</v>
      </c>
      <c r="F388" t="s">
        <v>21</v>
      </c>
      <c r="G388" t="s">
        <v>21</v>
      </c>
      <c r="H388" t="s">
        <v>21</v>
      </c>
      <c r="I388">
        <v>441.85</v>
      </c>
      <c r="J388">
        <v>472.47</v>
      </c>
      <c r="K388">
        <v>502.12</v>
      </c>
      <c r="L388">
        <v>525.36</v>
      </c>
      <c r="M388">
        <v>531.09500000000003</v>
      </c>
      <c r="N388">
        <v>548.29999999999995</v>
      </c>
      <c r="O388">
        <v>559.65499999999997</v>
      </c>
      <c r="P388">
        <v>571.01</v>
      </c>
      <c r="Q388">
        <v>587.90750000000003</v>
      </c>
      <c r="R388">
        <v>593.54</v>
      </c>
      <c r="S388">
        <v>604.745</v>
      </c>
      <c r="T388">
        <v>615.95000000000005</v>
      </c>
      <c r="U388">
        <v>638.23799999999994</v>
      </c>
      <c r="V388">
        <v>643.80999999999995</v>
      </c>
      <c r="W388">
        <v>660.45999999999992</v>
      </c>
      <c r="X388">
        <v>671.56</v>
      </c>
      <c r="Y388">
        <v>682.6099999999999</v>
      </c>
      <c r="Z388">
        <v>699.18499999999995</v>
      </c>
      <c r="AA388">
        <v>704.70999999999992</v>
      </c>
      <c r="AB388">
        <v>726.81</v>
      </c>
      <c r="AC388">
        <v>754.32500000000005</v>
      </c>
      <c r="AD388">
        <v>781.84</v>
      </c>
      <c r="AE388">
        <v>809.28</v>
      </c>
      <c r="AF388">
        <v>836.72</v>
      </c>
      <c r="AG388">
        <v>864.10500000000002</v>
      </c>
      <c r="AH388">
        <v>891.49</v>
      </c>
      <c r="AI388">
        <v>918.82999999999993</v>
      </c>
      <c r="AJ388">
        <v>946.17</v>
      </c>
      <c r="AK388">
        <v>973.48500000000001</v>
      </c>
      <c r="AL388">
        <v>1000.8</v>
      </c>
      <c r="AS388">
        <v>10000</v>
      </c>
    </row>
    <row r="389" spans="1:45" x14ac:dyDescent="0.3">
      <c r="A389">
        <v>425</v>
      </c>
      <c r="B389">
        <v>145.82</v>
      </c>
      <c r="C389" t="s">
        <v>18</v>
      </c>
      <c r="D389">
        <v>613.66700000000003</v>
      </c>
      <c r="E389">
        <v>2554.8000000000002</v>
      </c>
      <c r="F389" t="s">
        <v>21</v>
      </c>
      <c r="G389" t="s">
        <v>21</v>
      </c>
      <c r="H389" t="s">
        <v>21</v>
      </c>
      <c r="I389">
        <v>2562</v>
      </c>
      <c r="J389">
        <v>2604.5</v>
      </c>
      <c r="K389">
        <v>2645.7</v>
      </c>
      <c r="L389">
        <v>2678</v>
      </c>
      <c r="M389">
        <v>2685.9749999999999</v>
      </c>
      <c r="N389">
        <v>2709.9</v>
      </c>
      <c r="O389">
        <v>2725.75</v>
      </c>
      <c r="P389">
        <v>2741.6</v>
      </c>
      <c r="Q389">
        <v>2765.2999999999997</v>
      </c>
      <c r="R389">
        <v>2773.2</v>
      </c>
      <c r="S389">
        <v>2789</v>
      </c>
      <c r="T389">
        <v>2804.8</v>
      </c>
      <c r="U389">
        <v>2836.48</v>
      </c>
      <c r="V389">
        <v>2844.4</v>
      </c>
      <c r="W389">
        <v>2868.22</v>
      </c>
      <c r="X389">
        <v>2884.1</v>
      </c>
      <c r="Y389">
        <v>2900.16</v>
      </c>
      <c r="Z389">
        <v>2924.25</v>
      </c>
      <c r="AA389">
        <v>2932.28</v>
      </c>
      <c r="AB389">
        <v>2964.4</v>
      </c>
      <c r="AC389">
        <v>3005.15</v>
      </c>
      <c r="AD389">
        <v>3045.9</v>
      </c>
      <c r="AE389">
        <v>3087.45</v>
      </c>
      <c r="AF389">
        <v>3129</v>
      </c>
      <c r="AG389">
        <v>3171.35</v>
      </c>
      <c r="AH389">
        <v>3213.7</v>
      </c>
      <c r="AI389">
        <v>3256.85</v>
      </c>
      <c r="AJ389">
        <v>3300</v>
      </c>
      <c r="AK389">
        <v>3344</v>
      </c>
      <c r="AL389">
        <v>3388</v>
      </c>
      <c r="AS389">
        <v>10200</v>
      </c>
    </row>
    <row r="390" spans="1:45" x14ac:dyDescent="0.3">
      <c r="A390">
        <v>425</v>
      </c>
      <c r="B390">
        <v>145.82</v>
      </c>
      <c r="C390" t="s">
        <v>19</v>
      </c>
      <c r="D390">
        <v>614.12800000000004</v>
      </c>
      <c r="E390">
        <v>2740.3</v>
      </c>
      <c r="F390" t="s">
        <v>21</v>
      </c>
      <c r="G390" t="s">
        <v>21</v>
      </c>
      <c r="H390" t="s">
        <v>21</v>
      </c>
      <c r="I390">
        <v>2749.8</v>
      </c>
      <c r="J390">
        <v>2805.3</v>
      </c>
      <c r="K390">
        <v>2859.1</v>
      </c>
      <c r="L390">
        <v>2901.2</v>
      </c>
      <c r="M390">
        <v>2911.625</v>
      </c>
      <c r="N390">
        <v>2942.9</v>
      </c>
      <c r="O390">
        <v>2963.6000000000004</v>
      </c>
      <c r="P390">
        <v>2984.3</v>
      </c>
      <c r="Q390">
        <v>3015.2</v>
      </c>
      <c r="R390">
        <v>3025.5</v>
      </c>
      <c r="S390">
        <v>3046.05</v>
      </c>
      <c r="T390">
        <v>3066.6</v>
      </c>
      <c r="U390">
        <v>3107.72</v>
      </c>
      <c r="V390">
        <v>3118</v>
      </c>
      <c r="W390">
        <v>3148.9</v>
      </c>
      <c r="X390">
        <v>3169.5</v>
      </c>
      <c r="Y390">
        <v>3190.26</v>
      </c>
      <c r="Z390">
        <v>3221.4</v>
      </c>
      <c r="AA390">
        <v>3231.78</v>
      </c>
      <c r="AB390">
        <v>3273.3</v>
      </c>
      <c r="AC390">
        <v>3325.75</v>
      </c>
      <c r="AD390">
        <v>3378.2</v>
      </c>
      <c r="AE390">
        <v>3431.3999999999996</v>
      </c>
      <c r="AF390">
        <v>3484.6</v>
      </c>
      <c r="AG390">
        <v>3538.55</v>
      </c>
      <c r="AH390">
        <v>3592.5</v>
      </c>
      <c r="AI390">
        <v>3647.3</v>
      </c>
      <c r="AJ390">
        <v>3702.1</v>
      </c>
      <c r="AK390">
        <v>3757.75</v>
      </c>
      <c r="AL390">
        <v>3813.4</v>
      </c>
      <c r="AS390">
        <v>10400</v>
      </c>
    </row>
    <row r="391" spans="1:45" x14ac:dyDescent="0.3">
      <c r="A391">
        <v>425</v>
      </c>
      <c r="B391">
        <v>145.82</v>
      </c>
      <c r="C391" t="s">
        <v>20</v>
      </c>
      <c r="D391">
        <v>1.7989999999999999</v>
      </c>
      <c r="E391">
        <v>6.8738999999999999</v>
      </c>
      <c r="F391" t="s">
        <v>21</v>
      </c>
      <c r="G391" t="s">
        <v>21</v>
      </c>
      <c r="H391" t="s">
        <v>21</v>
      </c>
      <c r="I391">
        <v>6.8964999999999996</v>
      </c>
      <c r="J391">
        <v>7.0239000000000003</v>
      </c>
      <c r="K391">
        <v>7.1406999999999998</v>
      </c>
      <c r="L391">
        <v>7.2279999999999998</v>
      </c>
      <c r="M391">
        <v>7.2486999999999995</v>
      </c>
      <c r="N391">
        <v>7.3108000000000004</v>
      </c>
      <c r="O391">
        <v>7.3503500000000006</v>
      </c>
      <c r="P391">
        <v>7.3898999999999999</v>
      </c>
      <c r="Q391">
        <v>7.4467499999999998</v>
      </c>
      <c r="R391">
        <v>7.4657</v>
      </c>
      <c r="S391">
        <v>7.5022500000000001</v>
      </c>
      <c r="T391">
        <v>7.5388000000000002</v>
      </c>
      <c r="U391">
        <v>7.6089599999999997</v>
      </c>
      <c r="V391">
        <v>7.6265000000000001</v>
      </c>
      <c r="W391">
        <v>7.6771399999999996</v>
      </c>
      <c r="X391">
        <v>7.7108999999999996</v>
      </c>
      <c r="Y391">
        <v>7.7429199999999998</v>
      </c>
      <c r="Z391">
        <v>7.7909500000000005</v>
      </c>
      <c r="AA391">
        <v>7.8069600000000001</v>
      </c>
      <c r="AB391">
        <v>7.8710000000000004</v>
      </c>
      <c r="AC391">
        <v>7.9462000000000002</v>
      </c>
      <c r="AD391">
        <v>8.0213999999999999</v>
      </c>
      <c r="AE391">
        <v>8.0925000000000011</v>
      </c>
      <c r="AF391">
        <v>8.1636000000000006</v>
      </c>
      <c r="AG391">
        <v>8.2312499999999993</v>
      </c>
      <c r="AH391">
        <v>8.2988999999999997</v>
      </c>
      <c r="AI391">
        <v>8.36355</v>
      </c>
      <c r="AJ391">
        <v>8.4282000000000004</v>
      </c>
      <c r="AK391">
        <v>8.4901</v>
      </c>
      <c r="AL391">
        <v>8.5519999999999996</v>
      </c>
      <c r="AS391">
        <v>10600</v>
      </c>
    </row>
    <row r="392" spans="1:45" x14ac:dyDescent="0.3">
      <c r="A392">
        <v>450</v>
      </c>
      <c r="B392">
        <v>147.91999999999999</v>
      </c>
      <c r="C392" t="s">
        <v>0</v>
      </c>
      <c r="D392">
        <v>1.0880000000000001</v>
      </c>
      <c r="E392">
        <v>413.75</v>
      </c>
      <c r="F392" t="s">
        <v>21</v>
      </c>
      <c r="G392" t="s">
        <v>21</v>
      </c>
      <c r="H392" t="s">
        <v>21</v>
      </c>
      <c r="I392">
        <v>416.24</v>
      </c>
      <c r="J392">
        <v>445.38</v>
      </c>
      <c r="K392">
        <v>473.55</v>
      </c>
      <c r="L392">
        <v>495.59</v>
      </c>
      <c r="M392">
        <v>501.02499999999998</v>
      </c>
      <c r="N392">
        <v>517.33000000000004</v>
      </c>
      <c r="O392">
        <v>528.08000000000004</v>
      </c>
      <c r="P392">
        <v>538.83000000000004</v>
      </c>
      <c r="Q392">
        <v>554.83500000000004</v>
      </c>
      <c r="R392">
        <v>560.16999999999996</v>
      </c>
      <c r="S392">
        <v>570.77</v>
      </c>
      <c r="T392">
        <v>581.37</v>
      </c>
      <c r="U392">
        <v>602.45799999999997</v>
      </c>
      <c r="V392">
        <v>607.73</v>
      </c>
      <c r="W392">
        <v>623.47400000000005</v>
      </c>
      <c r="X392">
        <v>633.97</v>
      </c>
      <c r="Y392">
        <v>644.41600000000005</v>
      </c>
      <c r="Z392">
        <v>660.08500000000004</v>
      </c>
      <c r="AA392">
        <v>665.30799999999999</v>
      </c>
      <c r="AB392">
        <v>686.2</v>
      </c>
      <c r="AC392">
        <v>712.20500000000004</v>
      </c>
      <c r="AD392">
        <v>738.21</v>
      </c>
      <c r="AE392">
        <v>764.1400000000001</v>
      </c>
      <c r="AF392">
        <v>790.07</v>
      </c>
      <c r="AG392">
        <v>815.95</v>
      </c>
      <c r="AH392">
        <v>841.83</v>
      </c>
      <c r="AI392">
        <v>867.66499999999996</v>
      </c>
      <c r="AJ392">
        <v>893.5</v>
      </c>
      <c r="AK392">
        <v>919.3</v>
      </c>
      <c r="AL392">
        <v>945.1</v>
      </c>
      <c r="AS392">
        <v>10800</v>
      </c>
    </row>
    <row r="393" spans="1:45" x14ac:dyDescent="0.3">
      <c r="A393">
        <v>450</v>
      </c>
      <c r="B393">
        <v>147.91999999999999</v>
      </c>
      <c r="C393" t="s">
        <v>18</v>
      </c>
      <c r="D393">
        <v>622.67200000000003</v>
      </c>
      <c r="E393">
        <v>2556.6999999999998</v>
      </c>
      <c r="F393" t="s">
        <v>21</v>
      </c>
      <c r="G393" t="s">
        <v>21</v>
      </c>
      <c r="H393" t="s">
        <v>21</v>
      </c>
      <c r="I393">
        <v>2560.3000000000002</v>
      </c>
      <c r="J393">
        <v>2603.1999999999998</v>
      </c>
      <c r="K393">
        <v>2644.7</v>
      </c>
      <c r="L393">
        <v>2677.1</v>
      </c>
      <c r="M393">
        <v>2685.125</v>
      </c>
      <c r="N393">
        <v>2709.2</v>
      </c>
      <c r="O393">
        <v>2725.1</v>
      </c>
      <c r="P393">
        <v>2741</v>
      </c>
      <c r="Q393">
        <v>2764.7749999999996</v>
      </c>
      <c r="R393">
        <v>2772.7</v>
      </c>
      <c r="S393">
        <v>2788.55</v>
      </c>
      <c r="T393">
        <v>2804.4</v>
      </c>
      <c r="U393">
        <v>2836.08</v>
      </c>
      <c r="V393">
        <v>2844</v>
      </c>
      <c r="W393">
        <v>2867.88</v>
      </c>
      <c r="X393">
        <v>2883.8</v>
      </c>
      <c r="Y393">
        <v>2899.86</v>
      </c>
      <c r="Z393">
        <v>2923.95</v>
      </c>
      <c r="AA393">
        <v>2931.98</v>
      </c>
      <c r="AB393">
        <v>2964.1</v>
      </c>
      <c r="AC393">
        <v>3004.8999999999996</v>
      </c>
      <c r="AD393">
        <v>3045.7</v>
      </c>
      <c r="AE393">
        <v>3087.25</v>
      </c>
      <c r="AF393">
        <v>3128.8</v>
      </c>
      <c r="AG393">
        <v>3171.15</v>
      </c>
      <c r="AH393">
        <v>3213.5</v>
      </c>
      <c r="AI393">
        <v>3256.65</v>
      </c>
      <c r="AJ393">
        <v>3299.8</v>
      </c>
      <c r="AK393">
        <v>3343.8500000000004</v>
      </c>
      <c r="AL393">
        <v>3387.9</v>
      </c>
      <c r="AS393">
        <v>11000</v>
      </c>
    </row>
    <row r="394" spans="1:45" x14ac:dyDescent="0.3">
      <c r="A394">
        <v>450</v>
      </c>
      <c r="B394">
        <v>147.91999999999999</v>
      </c>
      <c r="C394" t="s">
        <v>19</v>
      </c>
      <c r="D394">
        <v>623.16200000000003</v>
      </c>
      <c r="E394">
        <v>2742.9</v>
      </c>
      <c r="F394" t="s">
        <v>21</v>
      </c>
      <c r="G394" t="s">
        <v>21</v>
      </c>
      <c r="H394" t="s">
        <v>21</v>
      </c>
      <c r="I394">
        <v>2747.7</v>
      </c>
      <c r="J394">
        <v>2803.7</v>
      </c>
      <c r="K394">
        <v>2857.8</v>
      </c>
      <c r="L394">
        <v>2900.2</v>
      </c>
      <c r="M394">
        <v>2910.6499999999996</v>
      </c>
      <c r="N394">
        <v>2942</v>
      </c>
      <c r="O394">
        <v>2962.75</v>
      </c>
      <c r="P394">
        <v>2983.5</v>
      </c>
      <c r="Q394">
        <v>3014.4750000000004</v>
      </c>
      <c r="R394">
        <v>3024.8</v>
      </c>
      <c r="S394">
        <v>3045.4</v>
      </c>
      <c r="T394">
        <v>3066</v>
      </c>
      <c r="U394">
        <v>3107.2</v>
      </c>
      <c r="V394">
        <v>3117.5</v>
      </c>
      <c r="W394">
        <v>3148.46</v>
      </c>
      <c r="X394">
        <v>3169.1</v>
      </c>
      <c r="Y394">
        <v>3189.86</v>
      </c>
      <c r="Z394">
        <v>3221</v>
      </c>
      <c r="AA394">
        <v>3231.38</v>
      </c>
      <c r="AB394">
        <v>3272.9</v>
      </c>
      <c r="AC394">
        <v>3325.4</v>
      </c>
      <c r="AD394">
        <v>3377.9</v>
      </c>
      <c r="AE394">
        <v>3431.1000000000004</v>
      </c>
      <c r="AF394">
        <v>3484.3</v>
      </c>
      <c r="AG394">
        <v>3538.3</v>
      </c>
      <c r="AH394">
        <v>3592.3</v>
      </c>
      <c r="AI394">
        <v>3647.1000000000004</v>
      </c>
      <c r="AJ394">
        <v>3701.9</v>
      </c>
      <c r="AK394">
        <v>3757.55</v>
      </c>
      <c r="AL394">
        <v>3813.2</v>
      </c>
      <c r="AS394">
        <v>11200</v>
      </c>
    </row>
    <row r="395" spans="1:45" x14ac:dyDescent="0.3">
      <c r="A395">
        <v>450</v>
      </c>
      <c r="B395">
        <v>147.91999999999999</v>
      </c>
      <c r="C395" t="s">
        <v>20</v>
      </c>
      <c r="D395">
        <v>1.8204</v>
      </c>
      <c r="E395">
        <v>6.8547000000000002</v>
      </c>
      <c r="F395" t="s">
        <v>21</v>
      </c>
      <c r="G395" t="s">
        <v>21</v>
      </c>
      <c r="H395" t="s">
        <v>21</v>
      </c>
      <c r="I395">
        <v>6.8659999999999997</v>
      </c>
      <c r="J395">
        <v>6.9946000000000002</v>
      </c>
      <c r="K395">
        <v>7.1120999999999999</v>
      </c>
      <c r="L395">
        <v>7.1999000000000004</v>
      </c>
      <c r="M395">
        <v>7.2207000000000008</v>
      </c>
      <c r="N395">
        <v>7.2831000000000001</v>
      </c>
      <c r="O395">
        <v>7.3227500000000001</v>
      </c>
      <c r="P395">
        <v>7.3624000000000001</v>
      </c>
      <c r="Q395">
        <v>7.4193999999999996</v>
      </c>
      <c r="R395">
        <v>7.4383999999999997</v>
      </c>
      <c r="S395">
        <v>7.4749999999999996</v>
      </c>
      <c r="T395">
        <v>7.5115999999999996</v>
      </c>
      <c r="U395">
        <v>7.5819200000000002</v>
      </c>
      <c r="V395">
        <v>7.5994999999999999</v>
      </c>
      <c r="W395">
        <v>7.6501999999999999</v>
      </c>
      <c r="X395">
        <v>7.6840000000000002</v>
      </c>
      <c r="Y395">
        <v>7.7160400000000005</v>
      </c>
      <c r="Z395">
        <v>7.7641</v>
      </c>
      <c r="AA395">
        <v>7.7801200000000001</v>
      </c>
      <c r="AB395">
        <v>7.8441999999999998</v>
      </c>
      <c r="AC395">
        <v>7.9194499999999994</v>
      </c>
      <c r="AD395">
        <v>7.9946999999999999</v>
      </c>
      <c r="AE395">
        <v>8.0658500000000011</v>
      </c>
      <c r="AF395">
        <v>8.1370000000000005</v>
      </c>
      <c r="AG395">
        <v>8.2046500000000009</v>
      </c>
      <c r="AH395">
        <v>8.2722999999999995</v>
      </c>
      <c r="AI395">
        <v>8.3369499999999999</v>
      </c>
      <c r="AJ395">
        <v>8.4016000000000002</v>
      </c>
      <c r="AK395">
        <v>8.4635499999999997</v>
      </c>
      <c r="AL395">
        <v>8.5254999999999992</v>
      </c>
      <c r="AS395">
        <v>11400</v>
      </c>
    </row>
    <row r="396" spans="1:45" x14ac:dyDescent="0.3">
      <c r="A396">
        <v>475</v>
      </c>
      <c r="B396">
        <v>149.91999999999999</v>
      </c>
      <c r="C396" t="s">
        <v>0</v>
      </c>
      <c r="D396">
        <v>1.091</v>
      </c>
      <c r="E396">
        <v>393.22</v>
      </c>
      <c r="F396" t="s">
        <v>21</v>
      </c>
      <c r="G396" t="s">
        <v>21</v>
      </c>
      <c r="H396" t="s">
        <v>21</v>
      </c>
      <c r="I396">
        <v>393.31</v>
      </c>
      <c r="J396">
        <v>421.14</v>
      </c>
      <c r="K396">
        <v>447.97</v>
      </c>
      <c r="L396">
        <v>468.95</v>
      </c>
      <c r="M396">
        <v>474.11750000000001</v>
      </c>
      <c r="N396">
        <v>489.62</v>
      </c>
      <c r="O396">
        <v>499.83500000000004</v>
      </c>
      <c r="P396">
        <v>510.05</v>
      </c>
      <c r="Q396">
        <v>525.23749999999995</v>
      </c>
      <c r="R396">
        <v>530.29999999999995</v>
      </c>
      <c r="S396">
        <v>540.36500000000001</v>
      </c>
      <c r="T396">
        <v>550.42999999999995</v>
      </c>
      <c r="U396">
        <v>570.43799999999999</v>
      </c>
      <c r="V396">
        <v>575.44000000000005</v>
      </c>
      <c r="W396">
        <v>590.37400000000002</v>
      </c>
      <c r="X396">
        <v>600.33000000000004</v>
      </c>
      <c r="Y396">
        <v>610.23800000000006</v>
      </c>
      <c r="Z396">
        <v>625.1</v>
      </c>
      <c r="AA396">
        <v>630.05399999999997</v>
      </c>
      <c r="AB396">
        <v>649.87</v>
      </c>
      <c r="AC396">
        <v>674.52499999999998</v>
      </c>
      <c r="AD396">
        <v>699.18</v>
      </c>
      <c r="AE396">
        <v>723.76</v>
      </c>
      <c r="AF396">
        <v>748.34</v>
      </c>
      <c r="AG396">
        <v>772.87</v>
      </c>
      <c r="AH396">
        <v>797.4</v>
      </c>
      <c r="AI396">
        <v>821.88499999999999</v>
      </c>
      <c r="AJ396">
        <v>846.37</v>
      </c>
      <c r="AK396">
        <v>870.81999999999994</v>
      </c>
      <c r="AL396">
        <v>895.27</v>
      </c>
      <c r="AS396">
        <f>+B262</f>
        <v>4500</v>
      </c>
    </row>
    <row r="397" spans="1:45" x14ac:dyDescent="0.3">
      <c r="A397">
        <v>475</v>
      </c>
      <c r="B397">
        <v>149.91999999999999</v>
      </c>
      <c r="C397" t="s">
        <v>18</v>
      </c>
      <c r="D397">
        <v>631.29399999999998</v>
      </c>
      <c r="E397">
        <v>2558.5</v>
      </c>
      <c r="F397" t="s">
        <v>21</v>
      </c>
      <c r="G397" t="s">
        <v>21</v>
      </c>
      <c r="H397" t="s">
        <v>21</v>
      </c>
      <c r="I397">
        <v>2558.6</v>
      </c>
      <c r="J397">
        <v>2601.9</v>
      </c>
      <c r="K397">
        <v>2643.7</v>
      </c>
      <c r="L397">
        <v>2676.3</v>
      </c>
      <c r="M397">
        <v>2684.3500000000004</v>
      </c>
      <c r="N397">
        <v>2708.5</v>
      </c>
      <c r="O397">
        <v>2724.45</v>
      </c>
      <c r="P397">
        <v>2740.4</v>
      </c>
      <c r="Q397">
        <v>2764.25</v>
      </c>
      <c r="R397">
        <v>2772.2</v>
      </c>
      <c r="S397">
        <v>2788.05</v>
      </c>
      <c r="T397">
        <v>2803.9</v>
      </c>
      <c r="U397">
        <v>2835.66</v>
      </c>
      <c r="V397">
        <v>2843.6</v>
      </c>
      <c r="W397">
        <v>2867.48</v>
      </c>
      <c r="X397">
        <v>2883.4</v>
      </c>
      <c r="Y397">
        <v>2899.48</v>
      </c>
      <c r="Z397">
        <v>2923.6</v>
      </c>
      <c r="AA397">
        <v>2931.64</v>
      </c>
      <c r="AB397">
        <v>2963.8</v>
      </c>
      <c r="AC397">
        <v>3004.6000000000004</v>
      </c>
      <c r="AD397">
        <v>3045.4</v>
      </c>
      <c r="AE397">
        <v>3087</v>
      </c>
      <c r="AF397">
        <v>3128.6</v>
      </c>
      <c r="AG397">
        <v>3170.95</v>
      </c>
      <c r="AH397">
        <v>3213.3</v>
      </c>
      <c r="AI397">
        <v>3256.5</v>
      </c>
      <c r="AJ397">
        <v>3299.7</v>
      </c>
      <c r="AK397">
        <v>3343.7</v>
      </c>
      <c r="AL397">
        <v>3387.7</v>
      </c>
    </row>
    <row r="398" spans="1:45" x14ac:dyDescent="0.3">
      <c r="A398">
        <v>475</v>
      </c>
      <c r="B398">
        <v>149.91999999999999</v>
      </c>
      <c r="C398" t="s">
        <v>19</v>
      </c>
      <c r="D398">
        <v>631.81200000000001</v>
      </c>
      <c r="E398">
        <v>2745.3</v>
      </c>
      <c r="F398" t="s">
        <v>21</v>
      </c>
      <c r="G398" t="s">
        <v>21</v>
      </c>
      <c r="H398" t="s">
        <v>21</v>
      </c>
      <c r="I398">
        <v>2745.5</v>
      </c>
      <c r="J398">
        <v>2802</v>
      </c>
      <c r="K398">
        <v>2856.5</v>
      </c>
      <c r="L398">
        <v>2899.1</v>
      </c>
      <c r="M398">
        <v>2909.6</v>
      </c>
      <c r="N398">
        <v>2941.1</v>
      </c>
      <c r="O398">
        <v>2961.8999999999996</v>
      </c>
      <c r="P398">
        <v>2982.7</v>
      </c>
      <c r="Q398">
        <v>3013.75</v>
      </c>
      <c r="R398">
        <v>3024.1</v>
      </c>
      <c r="S398">
        <v>3044.75</v>
      </c>
      <c r="T398">
        <v>3065.4</v>
      </c>
      <c r="U398">
        <v>3106.6</v>
      </c>
      <c r="V398">
        <v>3116.9</v>
      </c>
      <c r="W398">
        <v>3147.92</v>
      </c>
      <c r="X398">
        <v>3168.6</v>
      </c>
      <c r="Y398">
        <v>3189.38</v>
      </c>
      <c r="Z398">
        <v>3220.55</v>
      </c>
      <c r="AA398">
        <v>3230.94</v>
      </c>
      <c r="AB398">
        <v>3272.5</v>
      </c>
      <c r="AC398">
        <v>3325.05</v>
      </c>
      <c r="AD398">
        <v>3377.6</v>
      </c>
      <c r="AE398">
        <v>3430.8</v>
      </c>
      <c r="AF398">
        <v>3484</v>
      </c>
      <c r="AG398">
        <v>3538.05</v>
      </c>
      <c r="AH398">
        <v>3592.1</v>
      </c>
      <c r="AI398">
        <v>3646.9</v>
      </c>
      <c r="AJ398">
        <v>3701.7</v>
      </c>
      <c r="AK398">
        <v>3757.35</v>
      </c>
      <c r="AL398">
        <v>3813</v>
      </c>
    </row>
    <row r="399" spans="1:45" x14ac:dyDescent="0.3">
      <c r="A399">
        <v>475</v>
      </c>
      <c r="B399">
        <v>149.91999999999999</v>
      </c>
      <c r="C399" t="s">
        <v>20</v>
      </c>
      <c r="D399">
        <v>1.8408</v>
      </c>
      <c r="E399">
        <v>6.8365</v>
      </c>
      <c r="F399" t="s">
        <v>21</v>
      </c>
      <c r="G399" t="s">
        <v>21</v>
      </c>
      <c r="H399" t="s">
        <v>21</v>
      </c>
      <c r="I399">
        <v>6.8369</v>
      </c>
      <c r="J399">
        <v>6.9667000000000003</v>
      </c>
      <c r="K399">
        <v>7.085</v>
      </c>
      <c r="L399">
        <v>7.1731999999999996</v>
      </c>
      <c r="M399">
        <v>7.1940749999999998</v>
      </c>
      <c r="N399">
        <v>7.2567000000000004</v>
      </c>
      <c r="O399">
        <v>7.2965</v>
      </c>
      <c r="P399">
        <v>7.3362999999999996</v>
      </c>
      <c r="Q399">
        <v>7.3934499999999996</v>
      </c>
      <c r="R399">
        <v>7.4124999999999996</v>
      </c>
      <c r="S399">
        <v>7.4491499999999995</v>
      </c>
      <c r="T399">
        <v>7.4858000000000002</v>
      </c>
      <c r="U399">
        <v>7.5562800000000001</v>
      </c>
      <c r="V399">
        <v>7.5739000000000001</v>
      </c>
      <c r="W399">
        <v>7.6246600000000004</v>
      </c>
      <c r="X399">
        <v>7.6585000000000001</v>
      </c>
      <c r="Y399">
        <v>7.6905799999999997</v>
      </c>
      <c r="Z399">
        <v>7.7386999999999997</v>
      </c>
      <c r="AA399">
        <v>7.75474</v>
      </c>
      <c r="AB399">
        <v>7.8189000000000002</v>
      </c>
      <c r="AC399">
        <v>7.8941499999999998</v>
      </c>
      <c r="AD399">
        <v>7.9694000000000003</v>
      </c>
      <c r="AE399">
        <v>8.0406000000000013</v>
      </c>
      <c r="AF399">
        <v>8.1118000000000006</v>
      </c>
      <c r="AG399">
        <v>8.1795000000000009</v>
      </c>
      <c r="AH399">
        <v>8.2471999999999994</v>
      </c>
      <c r="AI399">
        <v>8.3118499999999997</v>
      </c>
      <c r="AJ399">
        <v>8.3765000000000001</v>
      </c>
      <c r="AK399">
        <v>8.4384499999999996</v>
      </c>
      <c r="AL399">
        <v>8.5004000000000008</v>
      </c>
    </row>
    <row r="400" spans="1:45" x14ac:dyDescent="0.3">
      <c r="A400">
        <v>500</v>
      </c>
      <c r="B400">
        <v>151.84</v>
      </c>
      <c r="C400" t="s">
        <v>0</v>
      </c>
      <c r="D400">
        <v>1.093</v>
      </c>
      <c r="E400">
        <v>374.68</v>
      </c>
      <c r="F400" t="s">
        <v>21</v>
      </c>
      <c r="G400" t="s">
        <v>21</v>
      </c>
      <c r="H400" t="s">
        <v>21</v>
      </c>
      <c r="I400" t="s">
        <v>21</v>
      </c>
      <c r="J400">
        <v>399.31</v>
      </c>
      <c r="K400">
        <v>424.96</v>
      </c>
      <c r="L400">
        <v>444.97</v>
      </c>
      <c r="M400">
        <v>449.89500000000004</v>
      </c>
      <c r="N400">
        <v>464.67</v>
      </c>
      <c r="O400">
        <v>474.40499999999997</v>
      </c>
      <c r="P400">
        <v>484.14</v>
      </c>
      <c r="Q400">
        <v>498.60750000000002</v>
      </c>
      <c r="R400">
        <v>503.43</v>
      </c>
      <c r="S400">
        <v>513.005</v>
      </c>
      <c r="T400">
        <v>522.58000000000004</v>
      </c>
      <c r="U400">
        <v>541.62</v>
      </c>
      <c r="V400">
        <v>546.38</v>
      </c>
      <c r="W400">
        <v>560.58199999999999</v>
      </c>
      <c r="X400">
        <v>570.04999999999995</v>
      </c>
      <c r="Y400">
        <v>579.47199999999998</v>
      </c>
      <c r="Z400">
        <v>593.60500000000002</v>
      </c>
      <c r="AA400">
        <v>598.31600000000003</v>
      </c>
      <c r="AB400">
        <v>617.16</v>
      </c>
      <c r="AC400">
        <v>640.60500000000002</v>
      </c>
      <c r="AD400">
        <v>664.05</v>
      </c>
      <c r="AE400">
        <v>687.41499999999996</v>
      </c>
      <c r="AF400">
        <v>710.78</v>
      </c>
      <c r="AG400">
        <v>734.09500000000003</v>
      </c>
      <c r="AH400">
        <v>757.41</v>
      </c>
      <c r="AI400">
        <v>780.68000000000006</v>
      </c>
      <c r="AJ400">
        <v>803.95</v>
      </c>
      <c r="AK400">
        <v>827.18499999999995</v>
      </c>
      <c r="AL400">
        <v>850.42</v>
      </c>
    </row>
    <row r="401" spans="1:38" x14ac:dyDescent="0.3">
      <c r="A401">
        <v>500</v>
      </c>
      <c r="B401">
        <v>151.84</v>
      </c>
      <c r="C401" t="s">
        <v>18</v>
      </c>
      <c r="D401">
        <v>639.56899999999996</v>
      </c>
      <c r="E401">
        <v>2560.1999999999998</v>
      </c>
      <c r="F401" t="s">
        <v>21</v>
      </c>
      <c r="G401" t="s">
        <v>21</v>
      </c>
      <c r="H401" t="s">
        <v>21</v>
      </c>
      <c r="I401" t="s">
        <v>21</v>
      </c>
      <c r="J401">
        <v>2600.6</v>
      </c>
      <c r="K401">
        <v>2642.7</v>
      </c>
      <c r="L401">
        <v>2675.5</v>
      </c>
      <c r="M401">
        <v>2683.5749999999998</v>
      </c>
      <c r="N401">
        <v>2707.8</v>
      </c>
      <c r="O401">
        <v>2723.8</v>
      </c>
      <c r="P401">
        <v>2739.8</v>
      </c>
      <c r="Q401">
        <v>2763.7249999999999</v>
      </c>
      <c r="R401">
        <v>2771.7</v>
      </c>
      <c r="S401">
        <v>2787.6</v>
      </c>
      <c r="T401">
        <v>2803.5</v>
      </c>
      <c r="U401">
        <v>2835.2599999999998</v>
      </c>
      <c r="V401">
        <v>2843.2</v>
      </c>
      <c r="W401">
        <v>2867.14</v>
      </c>
      <c r="X401">
        <v>2883.1</v>
      </c>
      <c r="Y401">
        <v>2899.18</v>
      </c>
      <c r="Z401">
        <v>2923.2999999999997</v>
      </c>
      <c r="AA401">
        <v>2931.3399999999997</v>
      </c>
      <c r="AB401">
        <v>2963.5</v>
      </c>
      <c r="AC401">
        <v>3004.35</v>
      </c>
      <c r="AD401">
        <v>3045.2</v>
      </c>
      <c r="AE401">
        <v>3086.8</v>
      </c>
      <c r="AF401">
        <v>3128.4</v>
      </c>
      <c r="AG401">
        <v>3170.75</v>
      </c>
      <c r="AH401">
        <v>3213.1</v>
      </c>
      <c r="AI401">
        <v>3256.3</v>
      </c>
      <c r="AJ401">
        <v>3299.5</v>
      </c>
      <c r="AK401">
        <v>3343.55</v>
      </c>
      <c r="AL401">
        <v>3387.6</v>
      </c>
    </row>
    <row r="402" spans="1:38" x14ac:dyDescent="0.3">
      <c r="A402">
        <v>500</v>
      </c>
      <c r="B402">
        <v>151.84</v>
      </c>
      <c r="C402" t="s">
        <v>19</v>
      </c>
      <c r="D402">
        <v>640.11599999999999</v>
      </c>
      <c r="E402">
        <v>2747.5</v>
      </c>
      <c r="F402" t="s">
        <v>21</v>
      </c>
      <c r="G402" t="s">
        <v>21</v>
      </c>
      <c r="H402" t="s">
        <v>21</v>
      </c>
      <c r="I402" t="s">
        <v>21</v>
      </c>
      <c r="J402">
        <v>2800.3</v>
      </c>
      <c r="K402">
        <v>2855.1</v>
      </c>
      <c r="L402">
        <v>2898</v>
      </c>
      <c r="M402">
        <v>2908.5250000000001</v>
      </c>
      <c r="N402">
        <v>2940.1</v>
      </c>
      <c r="O402">
        <v>2961</v>
      </c>
      <c r="P402">
        <v>2981.9</v>
      </c>
      <c r="Q402">
        <v>3013.0250000000001</v>
      </c>
      <c r="R402">
        <v>3023.4</v>
      </c>
      <c r="S402">
        <v>3044.1000000000004</v>
      </c>
      <c r="T402">
        <v>3064.8</v>
      </c>
      <c r="U402">
        <v>3106.08</v>
      </c>
      <c r="V402">
        <v>3116.4</v>
      </c>
      <c r="W402">
        <v>3147.42</v>
      </c>
      <c r="X402">
        <v>3168.1</v>
      </c>
      <c r="Y402">
        <v>3188.9</v>
      </c>
      <c r="Z402">
        <v>3220.1</v>
      </c>
      <c r="AA402">
        <v>3230.5</v>
      </c>
      <c r="AB402">
        <v>3272.1</v>
      </c>
      <c r="AC402">
        <v>3324.6499999999996</v>
      </c>
      <c r="AD402">
        <v>3377.2</v>
      </c>
      <c r="AE402">
        <v>3430.5</v>
      </c>
      <c r="AF402">
        <v>3483.8</v>
      </c>
      <c r="AG402">
        <v>3537.8</v>
      </c>
      <c r="AH402">
        <v>3591.8</v>
      </c>
      <c r="AI402">
        <v>3646.65</v>
      </c>
      <c r="AJ402">
        <v>3701.5</v>
      </c>
      <c r="AK402">
        <v>3757.15</v>
      </c>
      <c r="AL402">
        <v>3812.8</v>
      </c>
    </row>
    <row r="403" spans="1:38" x14ac:dyDescent="0.3">
      <c r="A403">
        <v>500</v>
      </c>
      <c r="B403">
        <v>151.84</v>
      </c>
      <c r="C403" t="s">
        <v>20</v>
      </c>
      <c r="D403">
        <v>1.8604000000000001</v>
      </c>
      <c r="E403">
        <v>6.8192000000000004</v>
      </c>
      <c r="F403" t="s">
        <v>21</v>
      </c>
      <c r="G403" t="s">
        <v>21</v>
      </c>
      <c r="H403" t="s">
        <v>21</v>
      </c>
      <c r="I403" t="s">
        <v>21</v>
      </c>
      <c r="J403">
        <v>6.94</v>
      </c>
      <c r="K403">
        <v>7.0591999999999997</v>
      </c>
      <c r="L403">
        <v>7.1478000000000002</v>
      </c>
      <c r="M403">
        <v>7.1687750000000001</v>
      </c>
      <c r="N403">
        <v>7.2317</v>
      </c>
      <c r="O403">
        <v>7.2715999999999994</v>
      </c>
      <c r="P403">
        <v>7.3114999999999997</v>
      </c>
      <c r="Q403">
        <v>7.3688000000000002</v>
      </c>
      <c r="R403">
        <v>7.3879000000000001</v>
      </c>
      <c r="S403">
        <v>7.4246499999999997</v>
      </c>
      <c r="T403">
        <v>7.4614000000000003</v>
      </c>
      <c r="U403">
        <v>7.5319599999999998</v>
      </c>
      <c r="V403">
        <v>7.5495999999999999</v>
      </c>
      <c r="W403">
        <v>7.6004199999999997</v>
      </c>
      <c r="X403">
        <v>7.6342999999999996</v>
      </c>
      <c r="Y403">
        <v>7.6663999999999994</v>
      </c>
      <c r="Z403">
        <v>7.71455</v>
      </c>
      <c r="AA403">
        <v>7.7305999999999999</v>
      </c>
      <c r="AB403">
        <v>7.7948000000000004</v>
      </c>
      <c r="AC403">
        <v>7.8701000000000008</v>
      </c>
      <c r="AD403">
        <v>7.9454000000000002</v>
      </c>
      <c r="AE403">
        <v>8.0166500000000003</v>
      </c>
      <c r="AF403">
        <v>8.0878999999999994</v>
      </c>
      <c r="AG403">
        <v>8.1555999999999997</v>
      </c>
      <c r="AH403">
        <v>8.2233000000000001</v>
      </c>
      <c r="AI403">
        <v>8.2879500000000004</v>
      </c>
      <c r="AJ403">
        <v>8.3526000000000007</v>
      </c>
      <c r="AK403">
        <v>8.4146000000000001</v>
      </c>
      <c r="AL403">
        <v>8.4765999999999995</v>
      </c>
    </row>
    <row r="404" spans="1:38" x14ac:dyDescent="0.3">
      <c r="A404">
        <v>525</v>
      </c>
      <c r="B404">
        <v>153.69</v>
      </c>
      <c r="C404" t="s">
        <v>0</v>
      </c>
      <c r="D404">
        <v>1.095</v>
      </c>
      <c r="E404">
        <v>357.84</v>
      </c>
      <c r="F404" t="s">
        <v>21</v>
      </c>
      <c r="G404" t="s">
        <v>21</v>
      </c>
      <c r="H404" t="s">
        <v>21</v>
      </c>
      <c r="I404" t="s">
        <v>21</v>
      </c>
      <c r="J404">
        <v>379.56</v>
      </c>
      <c r="K404">
        <v>404.13</v>
      </c>
      <c r="L404">
        <v>423.28</v>
      </c>
      <c r="M404">
        <v>427.98749999999995</v>
      </c>
      <c r="N404">
        <v>442.11</v>
      </c>
      <c r="O404">
        <v>451.40499999999997</v>
      </c>
      <c r="P404">
        <v>460.7</v>
      </c>
      <c r="Q404">
        <v>474.50749999999999</v>
      </c>
      <c r="R404">
        <v>479.11</v>
      </c>
      <c r="S404">
        <v>488.245</v>
      </c>
      <c r="T404">
        <v>497.38</v>
      </c>
      <c r="U404">
        <v>515.54000000000008</v>
      </c>
      <c r="V404">
        <v>520.08000000000004</v>
      </c>
      <c r="W404">
        <v>533.62800000000004</v>
      </c>
      <c r="X404">
        <v>542.66</v>
      </c>
      <c r="Y404">
        <v>551.64400000000001</v>
      </c>
      <c r="Z404">
        <v>565.12</v>
      </c>
      <c r="AA404">
        <v>569.61199999999997</v>
      </c>
      <c r="AB404">
        <v>587.58000000000004</v>
      </c>
      <c r="AC404">
        <v>609.92000000000007</v>
      </c>
      <c r="AD404">
        <v>632.26</v>
      </c>
      <c r="AE404">
        <v>654.53</v>
      </c>
      <c r="AF404">
        <v>676.8</v>
      </c>
      <c r="AG404">
        <v>699.01499999999999</v>
      </c>
      <c r="AH404">
        <v>721.23</v>
      </c>
      <c r="AI404">
        <v>743.40000000000009</v>
      </c>
      <c r="AJ404">
        <v>765.57</v>
      </c>
      <c r="AK404">
        <v>787.71</v>
      </c>
      <c r="AL404">
        <v>809.85</v>
      </c>
    </row>
    <row r="405" spans="1:38" x14ac:dyDescent="0.3">
      <c r="A405">
        <v>525</v>
      </c>
      <c r="B405">
        <v>153.69</v>
      </c>
      <c r="C405" t="s">
        <v>18</v>
      </c>
      <c r="D405">
        <v>647.52800000000002</v>
      </c>
      <c r="E405">
        <v>2561.8000000000002</v>
      </c>
      <c r="F405" t="s">
        <v>21</v>
      </c>
      <c r="G405" t="s">
        <v>21</v>
      </c>
      <c r="H405" t="s">
        <v>21</v>
      </c>
      <c r="I405" t="s">
        <v>21</v>
      </c>
      <c r="J405">
        <v>2599.3000000000002</v>
      </c>
      <c r="K405">
        <v>2641.6</v>
      </c>
      <c r="L405">
        <v>2674.6</v>
      </c>
      <c r="M405">
        <v>2682.7249999999999</v>
      </c>
      <c r="N405">
        <v>2707.1</v>
      </c>
      <c r="O405">
        <v>2723.1499999999996</v>
      </c>
      <c r="P405">
        <v>2739.2</v>
      </c>
      <c r="Q405">
        <v>2763.2</v>
      </c>
      <c r="R405">
        <v>2771.2</v>
      </c>
      <c r="S405">
        <v>2787.1</v>
      </c>
      <c r="T405">
        <v>2803</v>
      </c>
      <c r="U405">
        <v>2834.84</v>
      </c>
      <c r="V405">
        <v>2842.8</v>
      </c>
      <c r="W405">
        <v>2866.74</v>
      </c>
      <c r="X405">
        <v>2882.7</v>
      </c>
      <c r="Y405">
        <v>2898.7999999999997</v>
      </c>
      <c r="Z405">
        <v>2922.95</v>
      </c>
      <c r="AA405">
        <v>2931</v>
      </c>
      <c r="AB405">
        <v>2963.2</v>
      </c>
      <c r="AC405">
        <v>3004.1</v>
      </c>
      <c r="AD405">
        <v>3045</v>
      </c>
      <c r="AE405">
        <v>3086.6</v>
      </c>
      <c r="AF405">
        <v>3128.2</v>
      </c>
      <c r="AG405">
        <v>3170.6</v>
      </c>
      <c r="AH405">
        <v>3213</v>
      </c>
      <c r="AI405">
        <v>3256.2</v>
      </c>
      <c r="AJ405">
        <v>3299.4</v>
      </c>
      <c r="AK405">
        <v>3343.45</v>
      </c>
      <c r="AL405">
        <v>3387.5</v>
      </c>
    </row>
    <row r="406" spans="1:38" x14ac:dyDescent="0.3">
      <c r="A406">
        <v>525</v>
      </c>
      <c r="B406">
        <v>153.69</v>
      </c>
      <c r="C406" t="s">
        <v>19</v>
      </c>
      <c r="D406">
        <v>648.10299999999995</v>
      </c>
      <c r="E406">
        <v>2749.7</v>
      </c>
      <c r="F406" t="s">
        <v>21</v>
      </c>
      <c r="G406" t="s">
        <v>21</v>
      </c>
      <c r="H406" t="s">
        <v>21</v>
      </c>
      <c r="I406" t="s">
        <v>21</v>
      </c>
      <c r="J406">
        <v>2798.6</v>
      </c>
      <c r="K406">
        <v>2853.8</v>
      </c>
      <c r="L406">
        <v>2896.8</v>
      </c>
      <c r="M406">
        <v>2907.4</v>
      </c>
      <c r="N406">
        <v>2939.2</v>
      </c>
      <c r="O406">
        <v>2960.1499999999996</v>
      </c>
      <c r="P406">
        <v>2981.1</v>
      </c>
      <c r="Q406">
        <v>3012.2999999999997</v>
      </c>
      <c r="R406">
        <v>3022.7</v>
      </c>
      <c r="S406">
        <v>3043.3999999999996</v>
      </c>
      <c r="T406">
        <v>3064.1</v>
      </c>
      <c r="U406">
        <v>3105.54</v>
      </c>
      <c r="V406">
        <v>3115.9</v>
      </c>
      <c r="W406">
        <v>3146.92</v>
      </c>
      <c r="X406">
        <v>3167.6</v>
      </c>
      <c r="Y406">
        <v>3188.42</v>
      </c>
      <c r="Z406">
        <v>3219.65</v>
      </c>
      <c r="AA406">
        <v>3230.06</v>
      </c>
      <c r="AB406">
        <v>3271.7</v>
      </c>
      <c r="AC406">
        <v>3324.3</v>
      </c>
      <c r="AD406">
        <v>3376.9</v>
      </c>
      <c r="AE406">
        <v>3430.2000000000003</v>
      </c>
      <c r="AF406">
        <v>3483.5</v>
      </c>
      <c r="AG406">
        <v>3537.55</v>
      </c>
      <c r="AH406">
        <v>3591.6</v>
      </c>
      <c r="AI406">
        <v>3646.45</v>
      </c>
      <c r="AJ406">
        <v>3701.3</v>
      </c>
      <c r="AK406">
        <v>3756.95</v>
      </c>
      <c r="AL406">
        <v>3812.6</v>
      </c>
    </row>
    <row r="407" spans="1:38" x14ac:dyDescent="0.3">
      <c r="A407">
        <v>525</v>
      </c>
      <c r="B407">
        <v>153.69</v>
      </c>
      <c r="C407" t="s">
        <v>20</v>
      </c>
      <c r="D407">
        <v>1.879</v>
      </c>
      <c r="E407">
        <v>6.8026999999999997</v>
      </c>
      <c r="F407" t="s">
        <v>21</v>
      </c>
      <c r="G407" t="s">
        <v>21</v>
      </c>
      <c r="H407" t="s">
        <v>21</v>
      </c>
      <c r="I407" t="s">
        <v>21</v>
      </c>
      <c r="J407">
        <v>6.9145000000000003</v>
      </c>
      <c r="K407">
        <v>7.0345000000000004</v>
      </c>
      <c r="L407">
        <v>7.1235999999999997</v>
      </c>
      <c r="M407">
        <v>7.1446499999999995</v>
      </c>
      <c r="N407">
        <v>7.2077999999999998</v>
      </c>
      <c r="O407">
        <v>7.2478499999999997</v>
      </c>
      <c r="P407">
        <v>7.2878999999999996</v>
      </c>
      <c r="Q407">
        <v>7.3453499999999998</v>
      </c>
      <c r="R407">
        <v>7.3644999999999996</v>
      </c>
      <c r="S407">
        <v>7.4013</v>
      </c>
      <c r="T407">
        <v>7.4381000000000004</v>
      </c>
      <c r="U407">
        <v>7.5087399999999995</v>
      </c>
      <c r="V407">
        <v>7.5263999999999998</v>
      </c>
      <c r="W407">
        <v>7.57728</v>
      </c>
      <c r="X407">
        <v>7.6112000000000002</v>
      </c>
      <c r="Y407">
        <v>7.6433400000000002</v>
      </c>
      <c r="Z407">
        <v>7.6915500000000003</v>
      </c>
      <c r="AA407">
        <v>7.7076200000000004</v>
      </c>
      <c r="AB407">
        <v>7.7718999999999996</v>
      </c>
      <c r="AC407">
        <v>7.8472499999999998</v>
      </c>
      <c r="AD407">
        <v>7.9226000000000001</v>
      </c>
      <c r="AE407">
        <v>7.9938500000000001</v>
      </c>
      <c r="AF407">
        <v>8.0650999999999993</v>
      </c>
      <c r="AG407">
        <v>8.1328499999999995</v>
      </c>
      <c r="AH407">
        <v>8.2005999999999997</v>
      </c>
      <c r="AI407">
        <v>8.26525</v>
      </c>
      <c r="AJ407">
        <v>8.3299000000000003</v>
      </c>
      <c r="AK407">
        <v>8.3919000000000015</v>
      </c>
      <c r="AL407">
        <v>8.4539000000000009</v>
      </c>
    </row>
    <row r="408" spans="1:38" x14ac:dyDescent="0.3">
      <c r="A408">
        <v>550</v>
      </c>
      <c r="B408">
        <v>155.47</v>
      </c>
      <c r="C408" t="s">
        <v>0</v>
      </c>
      <c r="D408">
        <v>1.097</v>
      </c>
      <c r="E408">
        <v>342.48</v>
      </c>
      <c r="F408" t="s">
        <v>21</v>
      </c>
      <c r="G408" t="s">
        <v>21</v>
      </c>
      <c r="H408" t="s">
        <v>21</v>
      </c>
      <c r="I408" t="s">
        <v>21</v>
      </c>
      <c r="J408">
        <v>361.6</v>
      </c>
      <c r="K408">
        <v>385.19</v>
      </c>
      <c r="L408">
        <v>403.55</v>
      </c>
      <c r="M408">
        <v>408.06</v>
      </c>
      <c r="N408">
        <v>421.59</v>
      </c>
      <c r="O408">
        <v>430.48500000000001</v>
      </c>
      <c r="P408">
        <v>439.38</v>
      </c>
      <c r="Q408">
        <v>452.59500000000003</v>
      </c>
      <c r="R408">
        <v>457</v>
      </c>
      <c r="S408">
        <v>465.74</v>
      </c>
      <c r="T408">
        <v>474.48</v>
      </c>
      <c r="U408">
        <v>491.84000000000003</v>
      </c>
      <c r="V408">
        <v>496.18</v>
      </c>
      <c r="W408">
        <v>509.12799999999999</v>
      </c>
      <c r="X408">
        <v>517.76</v>
      </c>
      <c r="Y408">
        <v>526.34399999999994</v>
      </c>
      <c r="Z408">
        <v>539.21999999999991</v>
      </c>
      <c r="AA408">
        <v>543.51199999999994</v>
      </c>
      <c r="AB408">
        <v>560.67999999999995</v>
      </c>
      <c r="AC408">
        <v>582.02499999999998</v>
      </c>
      <c r="AD408">
        <v>603.37</v>
      </c>
      <c r="AE408">
        <v>624.64</v>
      </c>
      <c r="AF408">
        <v>645.91</v>
      </c>
      <c r="AG408">
        <v>667.125</v>
      </c>
      <c r="AH408">
        <v>688.34</v>
      </c>
      <c r="AI408">
        <v>709.51</v>
      </c>
      <c r="AJ408">
        <v>730.68</v>
      </c>
      <c r="AK408">
        <v>751.81999999999994</v>
      </c>
      <c r="AL408">
        <v>772.96</v>
      </c>
    </row>
    <row r="409" spans="1:38" x14ac:dyDescent="0.3">
      <c r="A409">
        <v>550</v>
      </c>
      <c r="B409">
        <v>155.47</v>
      </c>
      <c r="C409" t="s">
        <v>18</v>
      </c>
      <c r="D409">
        <v>655.19899999999996</v>
      </c>
      <c r="E409">
        <v>2563.3000000000002</v>
      </c>
      <c r="F409" t="s">
        <v>21</v>
      </c>
      <c r="G409" t="s">
        <v>21</v>
      </c>
      <c r="H409" t="s">
        <v>21</v>
      </c>
      <c r="I409" t="s">
        <v>21</v>
      </c>
      <c r="J409">
        <v>2598</v>
      </c>
      <c r="K409">
        <v>2640.6</v>
      </c>
      <c r="L409">
        <v>2673.8</v>
      </c>
      <c r="M409">
        <v>2681.9500000000003</v>
      </c>
      <c r="N409">
        <v>2706.4</v>
      </c>
      <c r="O409">
        <v>2722.5</v>
      </c>
      <c r="P409">
        <v>2738.6</v>
      </c>
      <c r="Q409">
        <v>2762.6</v>
      </c>
      <c r="R409">
        <v>2770.6</v>
      </c>
      <c r="S409">
        <v>2786.6</v>
      </c>
      <c r="T409">
        <v>2802.6</v>
      </c>
      <c r="U409">
        <v>2834.44</v>
      </c>
      <c r="V409">
        <v>2842.4</v>
      </c>
      <c r="W409">
        <v>2866.4</v>
      </c>
      <c r="X409">
        <v>2882.4</v>
      </c>
      <c r="Y409">
        <v>2898.52</v>
      </c>
      <c r="Z409">
        <v>2922.7</v>
      </c>
      <c r="AA409">
        <v>2930.7599999999998</v>
      </c>
      <c r="AB409">
        <v>2963</v>
      </c>
      <c r="AC409">
        <v>3003.85</v>
      </c>
      <c r="AD409">
        <v>3044.7</v>
      </c>
      <c r="AE409">
        <v>3086.35</v>
      </c>
      <c r="AF409">
        <v>3128</v>
      </c>
      <c r="AG409">
        <v>3170.4</v>
      </c>
      <c r="AH409">
        <v>3212.8</v>
      </c>
      <c r="AI409">
        <v>3256</v>
      </c>
      <c r="AJ409">
        <v>3299.2</v>
      </c>
      <c r="AK409">
        <v>3343.25</v>
      </c>
      <c r="AL409">
        <v>3387.3</v>
      </c>
    </row>
    <row r="410" spans="1:38" x14ac:dyDescent="0.3">
      <c r="A410">
        <v>550</v>
      </c>
      <c r="B410">
        <v>155.47</v>
      </c>
      <c r="C410" t="s">
        <v>19</v>
      </c>
      <c r="D410">
        <v>655.80200000000002</v>
      </c>
      <c r="E410">
        <v>2751.7</v>
      </c>
      <c r="F410" t="s">
        <v>21</v>
      </c>
      <c r="G410" t="s">
        <v>21</v>
      </c>
      <c r="H410" t="s">
        <v>21</v>
      </c>
      <c r="I410" t="s">
        <v>21</v>
      </c>
      <c r="J410">
        <v>2796.8</v>
      </c>
      <c r="K410">
        <v>2852.5</v>
      </c>
      <c r="L410">
        <v>2895.7</v>
      </c>
      <c r="M410">
        <v>2906.35</v>
      </c>
      <c r="N410">
        <v>2938.3</v>
      </c>
      <c r="O410">
        <v>2959.3</v>
      </c>
      <c r="P410">
        <v>2980.3</v>
      </c>
      <c r="Q410">
        <v>3011.5750000000003</v>
      </c>
      <c r="R410">
        <v>3022</v>
      </c>
      <c r="S410">
        <v>3042.75</v>
      </c>
      <c r="T410">
        <v>3063.5</v>
      </c>
      <c r="U410">
        <v>3104.94</v>
      </c>
      <c r="V410">
        <v>3115.3</v>
      </c>
      <c r="W410">
        <v>3146.44</v>
      </c>
      <c r="X410">
        <v>3167.2</v>
      </c>
      <c r="Y410">
        <v>3188.02</v>
      </c>
      <c r="Z410">
        <v>3219.25</v>
      </c>
      <c r="AA410">
        <v>3229.66</v>
      </c>
      <c r="AB410">
        <v>3271.3</v>
      </c>
      <c r="AC410">
        <v>3323.95</v>
      </c>
      <c r="AD410">
        <v>3376.6</v>
      </c>
      <c r="AE410">
        <v>3429.9</v>
      </c>
      <c r="AF410">
        <v>3483.2</v>
      </c>
      <c r="AG410">
        <v>3537.3</v>
      </c>
      <c r="AH410">
        <v>3591.4</v>
      </c>
      <c r="AI410">
        <v>3646.25</v>
      </c>
      <c r="AJ410">
        <v>3701.1</v>
      </c>
      <c r="AK410">
        <v>3756.8</v>
      </c>
      <c r="AL410">
        <v>3812.5</v>
      </c>
    </row>
    <row r="411" spans="1:38" x14ac:dyDescent="0.3">
      <c r="A411">
        <v>550</v>
      </c>
      <c r="B411">
        <v>155.47</v>
      </c>
      <c r="C411" t="s">
        <v>20</v>
      </c>
      <c r="D411">
        <v>1.897</v>
      </c>
      <c r="E411">
        <v>6.7869999999999999</v>
      </c>
      <c r="F411" t="s">
        <v>21</v>
      </c>
      <c r="G411" t="s">
        <v>21</v>
      </c>
      <c r="H411" t="s">
        <v>21</v>
      </c>
      <c r="I411" t="s">
        <v>21</v>
      </c>
      <c r="J411">
        <v>6.89</v>
      </c>
      <c r="K411">
        <v>7.0107999999999997</v>
      </c>
      <c r="L411">
        <v>7.1003999999999996</v>
      </c>
      <c r="M411">
        <v>7.1215250000000001</v>
      </c>
      <c r="N411">
        <v>7.1848999999999998</v>
      </c>
      <c r="O411">
        <v>7.2250999999999994</v>
      </c>
      <c r="P411">
        <v>7.2652999999999999</v>
      </c>
      <c r="Q411">
        <v>7.3229000000000006</v>
      </c>
      <c r="R411">
        <v>7.3421000000000003</v>
      </c>
      <c r="S411">
        <v>7.3789499999999997</v>
      </c>
      <c r="T411">
        <v>7.4157999999999999</v>
      </c>
      <c r="U411">
        <v>7.4866000000000001</v>
      </c>
      <c r="V411">
        <v>7.5042999999999997</v>
      </c>
      <c r="W411">
        <v>7.5552399999999995</v>
      </c>
      <c r="X411">
        <v>7.5891999999999999</v>
      </c>
      <c r="Y411">
        <v>7.6213600000000001</v>
      </c>
      <c r="Z411">
        <v>7.6696</v>
      </c>
      <c r="AA411">
        <v>7.6856799999999996</v>
      </c>
      <c r="AB411">
        <v>7.75</v>
      </c>
      <c r="AC411">
        <v>7.8254000000000001</v>
      </c>
      <c r="AD411">
        <v>7.9008000000000003</v>
      </c>
      <c r="AE411">
        <v>7.9720500000000003</v>
      </c>
      <c r="AF411">
        <v>8.0433000000000003</v>
      </c>
      <c r="AG411">
        <v>8.1111000000000004</v>
      </c>
      <c r="AH411">
        <v>8.1789000000000005</v>
      </c>
      <c r="AI411">
        <v>8.2436000000000007</v>
      </c>
      <c r="AJ411">
        <v>8.3082999999999991</v>
      </c>
      <c r="AK411">
        <v>8.3703000000000003</v>
      </c>
      <c r="AL411">
        <v>8.4322999999999997</v>
      </c>
    </row>
    <row r="412" spans="1:38" x14ac:dyDescent="0.3">
      <c r="A412">
        <v>575</v>
      </c>
      <c r="B412">
        <v>157.18</v>
      </c>
      <c r="C412" t="s">
        <v>0</v>
      </c>
      <c r="D412">
        <v>1.099</v>
      </c>
      <c r="E412">
        <v>328.41</v>
      </c>
      <c r="F412" t="s">
        <v>21</v>
      </c>
      <c r="G412" t="s">
        <v>21</v>
      </c>
      <c r="H412" t="s">
        <v>21</v>
      </c>
      <c r="I412" t="s">
        <v>21</v>
      </c>
      <c r="J412">
        <v>345.2</v>
      </c>
      <c r="K412">
        <v>367.9</v>
      </c>
      <c r="L412">
        <v>385.54</v>
      </c>
      <c r="M412">
        <v>389.86750000000001</v>
      </c>
      <c r="N412">
        <v>402.85</v>
      </c>
      <c r="O412">
        <v>411.38499999999999</v>
      </c>
      <c r="P412">
        <v>419.92</v>
      </c>
      <c r="Q412">
        <v>432.58749999999998</v>
      </c>
      <c r="R412">
        <v>436.81</v>
      </c>
      <c r="S412">
        <v>445.185</v>
      </c>
      <c r="T412">
        <v>453.56</v>
      </c>
      <c r="U412">
        <v>470.2</v>
      </c>
      <c r="V412">
        <v>474.36</v>
      </c>
      <c r="W412">
        <v>486.762</v>
      </c>
      <c r="X412">
        <v>495.03</v>
      </c>
      <c r="Y412">
        <v>503.24799999999999</v>
      </c>
      <c r="Z412">
        <v>515.57500000000005</v>
      </c>
      <c r="AA412">
        <v>519.68400000000008</v>
      </c>
      <c r="AB412">
        <v>536.12</v>
      </c>
      <c r="AC412">
        <v>556.54999999999995</v>
      </c>
      <c r="AD412">
        <v>576.98</v>
      </c>
      <c r="AE412">
        <v>597.34</v>
      </c>
      <c r="AF412">
        <v>617.70000000000005</v>
      </c>
      <c r="AG412">
        <v>638</v>
      </c>
      <c r="AH412">
        <v>658.3</v>
      </c>
      <c r="AI412">
        <v>678.56500000000005</v>
      </c>
      <c r="AJ412">
        <v>698.83</v>
      </c>
      <c r="AK412">
        <v>719.05500000000006</v>
      </c>
      <c r="AL412">
        <v>739.28</v>
      </c>
    </row>
    <row r="413" spans="1:38" x14ac:dyDescent="0.3">
      <c r="A413">
        <v>575</v>
      </c>
      <c r="B413">
        <v>157.18</v>
      </c>
      <c r="C413" t="s">
        <v>18</v>
      </c>
      <c r="D413">
        <v>662.60299999999995</v>
      </c>
      <c r="E413">
        <v>2564.8000000000002</v>
      </c>
      <c r="F413" t="s">
        <v>21</v>
      </c>
      <c r="G413" t="s">
        <v>21</v>
      </c>
      <c r="H413" t="s">
        <v>21</v>
      </c>
      <c r="I413" t="s">
        <v>21</v>
      </c>
      <c r="J413">
        <v>2596.6</v>
      </c>
      <c r="K413">
        <v>2639.6</v>
      </c>
      <c r="L413">
        <v>2672.9</v>
      </c>
      <c r="M413">
        <v>2681.1</v>
      </c>
      <c r="N413">
        <v>2705.7</v>
      </c>
      <c r="O413">
        <v>2721.85</v>
      </c>
      <c r="P413">
        <v>2738</v>
      </c>
      <c r="Q413">
        <v>2762.0749999999998</v>
      </c>
      <c r="R413">
        <v>2770.1</v>
      </c>
      <c r="S413">
        <v>2786.1</v>
      </c>
      <c r="T413">
        <v>2802.1</v>
      </c>
      <c r="U413">
        <v>2834.02</v>
      </c>
      <c r="V413">
        <v>2842</v>
      </c>
      <c r="W413">
        <v>2866.06</v>
      </c>
      <c r="X413">
        <v>2882.1</v>
      </c>
      <c r="Y413">
        <v>2898.22</v>
      </c>
      <c r="Z413">
        <v>2922.3999999999996</v>
      </c>
      <c r="AA413">
        <v>2930.4599999999996</v>
      </c>
      <c r="AB413">
        <v>2962.7</v>
      </c>
      <c r="AC413">
        <v>3003.6</v>
      </c>
      <c r="AD413">
        <v>3044.5</v>
      </c>
      <c r="AE413">
        <v>3086.15</v>
      </c>
      <c r="AF413">
        <v>3127.8</v>
      </c>
      <c r="AG413">
        <v>3170.2</v>
      </c>
      <c r="AH413">
        <v>3212.6</v>
      </c>
      <c r="AI413">
        <v>3255.85</v>
      </c>
      <c r="AJ413">
        <v>3299.1</v>
      </c>
      <c r="AK413">
        <v>3343.1499999999996</v>
      </c>
      <c r="AL413">
        <v>3387.2</v>
      </c>
    </row>
    <row r="414" spans="1:38" x14ac:dyDescent="0.3">
      <c r="A414">
        <v>575</v>
      </c>
      <c r="B414">
        <v>157.18</v>
      </c>
      <c r="C414" t="s">
        <v>19</v>
      </c>
      <c r="D414">
        <v>663.23500000000001</v>
      </c>
      <c r="E414">
        <v>2753.6</v>
      </c>
      <c r="F414" t="s">
        <v>21</v>
      </c>
      <c r="G414" t="s">
        <v>21</v>
      </c>
      <c r="H414" t="s">
        <v>21</v>
      </c>
      <c r="I414" t="s">
        <v>21</v>
      </c>
      <c r="J414">
        <v>2795.1</v>
      </c>
      <c r="K414">
        <v>2851.1</v>
      </c>
      <c r="L414">
        <v>2894.6</v>
      </c>
      <c r="M414">
        <v>2905.2750000000001</v>
      </c>
      <c r="N414">
        <v>2937.3</v>
      </c>
      <c r="O414">
        <v>2958.4</v>
      </c>
      <c r="P414">
        <v>2979.5</v>
      </c>
      <c r="Q414">
        <v>3010.8500000000004</v>
      </c>
      <c r="R414">
        <v>3021.3</v>
      </c>
      <c r="S414">
        <v>3042.1000000000004</v>
      </c>
      <c r="T414">
        <v>3062.9</v>
      </c>
      <c r="U414">
        <v>3104.42</v>
      </c>
      <c r="V414">
        <v>3114.8</v>
      </c>
      <c r="W414">
        <v>3145.94</v>
      </c>
      <c r="X414">
        <v>3166.7</v>
      </c>
      <c r="Y414">
        <v>3187.56</v>
      </c>
      <c r="Z414">
        <v>3218.85</v>
      </c>
      <c r="AA414">
        <v>3229.2799999999997</v>
      </c>
      <c r="AB414">
        <v>3271</v>
      </c>
      <c r="AC414">
        <v>3323.65</v>
      </c>
      <c r="AD414">
        <v>3376.3</v>
      </c>
      <c r="AE414">
        <v>3429.6000000000004</v>
      </c>
      <c r="AF414">
        <v>3482.9</v>
      </c>
      <c r="AG414">
        <v>3537</v>
      </c>
      <c r="AH414">
        <v>3591.1</v>
      </c>
      <c r="AI414">
        <v>3646</v>
      </c>
      <c r="AJ414">
        <v>3700.9</v>
      </c>
      <c r="AK414">
        <v>3756.6000000000004</v>
      </c>
      <c r="AL414">
        <v>3812.3</v>
      </c>
    </row>
    <row r="415" spans="1:38" x14ac:dyDescent="0.3">
      <c r="A415">
        <v>575</v>
      </c>
      <c r="B415">
        <v>157.18</v>
      </c>
      <c r="C415" t="s">
        <v>20</v>
      </c>
      <c r="D415">
        <v>1.9141999999999999</v>
      </c>
      <c r="E415">
        <v>6.7720000000000002</v>
      </c>
      <c r="F415" t="s">
        <v>21</v>
      </c>
      <c r="G415" t="s">
        <v>21</v>
      </c>
      <c r="H415" t="s">
        <v>21</v>
      </c>
      <c r="I415" t="s">
        <v>21</v>
      </c>
      <c r="J415">
        <v>6.8663999999999996</v>
      </c>
      <c r="K415">
        <v>6.9880000000000004</v>
      </c>
      <c r="L415">
        <v>7.0781000000000001</v>
      </c>
      <c r="M415">
        <v>7.0993250000000003</v>
      </c>
      <c r="N415">
        <v>7.1630000000000003</v>
      </c>
      <c r="O415">
        <v>7.2033000000000005</v>
      </c>
      <c r="P415">
        <v>7.2435999999999998</v>
      </c>
      <c r="Q415">
        <v>7.3013499999999993</v>
      </c>
      <c r="R415">
        <v>7.3205999999999998</v>
      </c>
      <c r="S415">
        <v>7.3575499999999998</v>
      </c>
      <c r="T415">
        <v>7.3944999999999999</v>
      </c>
      <c r="U415">
        <v>7.4653800000000006</v>
      </c>
      <c r="V415">
        <v>7.4831000000000003</v>
      </c>
      <c r="W415">
        <v>7.5341000000000005</v>
      </c>
      <c r="X415">
        <v>7.5681000000000003</v>
      </c>
      <c r="Y415">
        <v>7.6002800000000006</v>
      </c>
      <c r="Z415">
        <v>7.6485500000000002</v>
      </c>
      <c r="AA415">
        <v>7.6646400000000003</v>
      </c>
      <c r="AB415">
        <v>7.7290000000000001</v>
      </c>
      <c r="AC415">
        <v>7.8044500000000001</v>
      </c>
      <c r="AD415">
        <v>7.8799000000000001</v>
      </c>
      <c r="AE415">
        <v>7.9512499999999999</v>
      </c>
      <c r="AF415">
        <v>8.0226000000000006</v>
      </c>
      <c r="AG415">
        <v>8.0903500000000008</v>
      </c>
      <c r="AH415">
        <v>8.1580999999999992</v>
      </c>
      <c r="AI415">
        <v>8.2228499999999993</v>
      </c>
      <c r="AJ415">
        <v>8.2875999999999994</v>
      </c>
      <c r="AK415">
        <v>8.3496000000000006</v>
      </c>
      <c r="AL415">
        <v>8.4116</v>
      </c>
    </row>
    <row r="416" spans="1:38" x14ac:dyDescent="0.3">
      <c r="A416">
        <v>600</v>
      </c>
      <c r="B416">
        <v>158.84</v>
      </c>
      <c r="C416" t="s">
        <v>0</v>
      </c>
      <c r="D416">
        <v>1.101</v>
      </c>
      <c r="E416">
        <v>315.47000000000003</v>
      </c>
      <c r="F416" t="s">
        <v>21</v>
      </c>
      <c r="G416" t="s">
        <v>21</v>
      </c>
      <c r="H416" t="s">
        <v>21</v>
      </c>
      <c r="I416" t="s">
        <v>21</v>
      </c>
      <c r="J416">
        <v>330.16</v>
      </c>
      <c r="K416">
        <v>352.04</v>
      </c>
      <c r="L416">
        <v>369.03</v>
      </c>
      <c r="M416">
        <v>373.1925</v>
      </c>
      <c r="N416">
        <v>385.68</v>
      </c>
      <c r="O416">
        <v>393.88</v>
      </c>
      <c r="P416">
        <v>402.08</v>
      </c>
      <c r="Q416">
        <v>414.2525</v>
      </c>
      <c r="R416">
        <v>418.31</v>
      </c>
      <c r="S416">
        <v>426.35</v>
      </c>
      <c r="T416">
        <v>434.39</v>
      </c>
      <c r="U416">
        <v>450.358</v>
      </c>
      <c r="V416">
        <v>454.35</v>
      </c>
      <c r="W416">
        <v>466.25400000000002</v>
      </c>
      <c r="X416">
        <v>474.19</v>
      </c>
      <c r="Y416">
        <v>482.07400000000001</v>
      </c>
      <c r="Z416">
        <v>493.90000000000003</v>
      </c>
      <c r="AA416">
        <v>497.84200000000004</v>
      </c>
      <c r="AB416">
        <v>513.61</v>
      </c>
      <c r="AC416">
        <v>533.20499999999993</v>
      </c>
      <c r="AD416">
        <v>552.79999999999995</v>
      </c>
      <c r="AE416">
        <v>572.31999999999994</v>
      </c>
      <c r="AF416">
        <v>591.84</v>
      </c>
      <c r="AG416">
        <v>611.30999999999995</v>
      </c>
      <c r="AH416">
        <v>630.78</v>
      </c>
      <c r="AI416">
        <v>650.20499999999993</v>
      </c>
      <c r="AJ416">
        <v>669.63</v>
      </c>
      <c r="AK416">
        <v>689.02</v>
      </c>
      <c r="AL416">
        <v>708.41</v>
      </c>
    </row>
    <row r="417" spans="1:38" x14ac:dyDescent="0.3">
      <c r="A417">
        <v>600</v>
      </c>
      <c r="B417">
        <v>158.84</v>
      </c>
      <c r="C417" t="s">
        <v>18</v>
      </c>
      <c r="D417">
        <v>669.76199999999994</v>
      </c>
      <c r="E417">
        <v>2566.1999999999998</v>
      </c>
      <c r="F417" t="s">
        <v>21</v>
      </c>
      <c r="G417" t="s">
        <v>21</v>
      </c>
      <c r="H417" t="s">
        <v>21</v>
      </c>
      <c r="I417" t="s">
        <v>21</v>
      </c>
      <c r="J417">
        <v>2595.3000000000002</v>
      </c>
      <c r="K417">
        <v>2638.5</v>
      </c>
      <c r="L417">
        <v>2672.1</v>
      </c>
      <c r="M417">
        <v>2680.3249999999998</v>
      </c>
      <c r="N417">
        <v>2705</v>
      </c>
      <c r="O417">
        <v>2721.2</v>
      </c>
      <c r="P417">
        <v>2737.4</v>
      </c>
      <c r="Q417">
        <v>2761.55</v>
      </c>
      <c r="R417">
        <v>2769.6</v>
      </c>
      <c r="S417">
        <v>2785.6</v>
      </c>
      <c r="T417">
        <v>2801.6</v>
      </c>
      <c r="U417">
        <v>2833.6</v>
      </c>
      <c r="V417">
        <v>2841.6</v>
      </c>
      <c r="W417">
        <v>2865.66</v>
      </c>
      <c r="X417">
        <v>2881.7</v>
      </c>
      <c r="Y417">
        <v>2897.8399999999997</v>
      </c>
      <c r="Z417">
        <v>2922.0499999999997</v>
      </c>
      <c r="AA417">
        <v>2930.12</v>
      </c>
      <c r="AB417">
        <v>2962.4</v>
      </c>
      <c r="AC417">
        <v>3003.3500000000004</v>
      </c>
      <c r="AD417">
        <v>3044.3</v>
      </c>
      <c r="AE417">
        <v>3085.95</v>
      </c>
      <c r="AF417">
        <v>3127.6</v>
      </c>
      <c r="AG417">
        <v>3170</v>
      </c>
      <c r="AH417">
        <v>3212.4</v>
      </c>
      <c r="AI417">
        <v>3255.65</v>
      </c>
      <c r="AJ417">
        <v>3298.9</v>
      </c>
      <c r="AK417">
        <v>3343</v>
      </c>
      <c r="AL417">
        <v>3387.1</v>
      </c>
    </row>
    <row r="418" spans="1:38" x14ac:dyDescent="0.3">
      <c r="A418">
        <v>600</v>
      </c>
      <c r="B418">
        <v>158.84</v>
      </c>
      <c r="C418" t="s">
        <v>19</v>
      </c>
      <c r="D418">
        <v>670.423</v>
      </c>
      <c r="E418">
        <v>2755.5</v>
      </c>
      <c r="F418" t="s">
        <v>21</v>
      </c>
      <c r="G418" t="s">
        <v>21</v>
      </c>
      <c r="H418" t="s">
        <v>21</v>
      </c>
      <c r="I418" t="s">
        <v>21</v>
      </c>
      <c r="J418">
        <v>2793.3</v>
      </c>
      <c r="K418">
        <v>2849.7</v>
      </c>
      <c r="L418">
        <v>2893.5</v>
      </c>
      <c r="M418">
        <v>2904.2249999999999</v>
      </c>
      <c r="N418">
        <v>2936.4</v>
      </c>
      <c r="O418">
        <v>2957.55</v>
      </c>
      <c r="P418">
        <v>2978.7</v>
      </c>
      <c r="Q418">
        <v>3010.125</v>
      </c>
      <c r="R418">
        <v>3020.6</v>
      </c>
      <c r="S418">
        <v>3041.45</v>
      </c>
      <c r="T418">
        <v>3062.3</v>
      </c>
      <c r="U418">
        <v>3103.9</v>
      </c>
      <c r="V418">
        <v>3114.3</v>
      </c>
      <c r="W418">
        <v>3145.44</v>
      </c>
      <c r="X418">
        <v>3166.2</v>
      </c>
      <c r="Y418">
        <v>3187.08</v>
      </c>
      <c r="Z418">
        <v>3218.4</v>
      </c>
      <c r="AA418">
        <v>3228.84</v>
      </c>
      <c r="AB418">
        <v>3270.6</v>
      </c>
      <c r="AC418">
        <v>3323.3</v>
      </c>
      <c r="AD418">
        <v>3376</v>
      </c>
      <c r="AE418">
        <v>3429.35</v>
      </c>
      <c r="AF418">
        <v>3482.7</v>
      </c>
      <c r="AG418">
        <v>3536.8</v>
      </c>
      <c r="AH418">
        <v>3590.9</v>
      </c>
      <c r="AI418">
        <v>3645.8</v>
      </c>
      <c r="AJ418">
        <v>3700.7</v>
      </c>
      <c r="AK418">
        <v>3756.4</v>
      </c>
      <c r="AL418">
        <v>3812.1</v>
      </c>
    </row>
    <row r="419" spans="1:38" x14ac:dyDescent="0.3">
      <c r="A419">
        <v>600</v>
      </c>
      <c r="B419">
        <v>158.84</v>
      </c>
      <c r="C419" t="s">
        <v>20</v>
      </c>
      <c r="D419">
        <v>1.9308000000000001</v>
      </c>
      <c r="E419">
        <v>6.7575000000000003</v>
      </c>
      <c r="F419" t="s">
        <v>21</v>
      </c>
      <c r="G419" t="s">
        <v>21</v>
      </c>
      <c r="H419" t="s">
        <v>21</v>
      </c>
      <c r="I419" t="s">
        <v>21</v>
      </c>
      <c r="J419">
        <v>6.8437000000000001</v>
      </c>
      <c r="K419">
        <v>6.9661999999999997</v>
      </c>
      <c r="L419">
        <v>7.0567000000000002</v>
      </c>
      <c r="M419">
        <v>7.0780000000000003</v>
      </c>
      <c r="N419">
        <v>7.1418999999999997</v>
      </c>
      <c r="O419">
        <v>7.1823499999999996</v>
      </c>
      <c r="P419">
        <v>7.2228000000000003</v>
      </c>
      <c r="Q419">
        <v>7.2806999999999995</v>
      </c>
      <c r="R419">
        <v>7.3</v>
      </c>
      <c r="S419">
        <v>7.3369999999999997</v>
      </c>
      <c r="T419">
        <v>7.3739999999999997</v>
      </c>
      <c r="U419">
        <v>7.4450399999999997</v>
      </c>
      <c r="V419">
        <v>7.4627999999999997</v>
      </c>
      <c r="W419">
        <v>7.5138600000000002</v>
      </c>
      <c r="X419">
        <v>7.5479000000000003</v>
      </c>
      <c r="Y419">
        <v>7.58012</v>
      </c>
      <c r="Z419">
        <v>7.62845</v>
      </c>
      <c r="AA419">
        <v>7.6445600000000002</v>
      </c>
      <c r="AB419">
        <v>7.7089999999999996</v>
      </c>
      <c r="AC419">
        <v>7.7844999999999995</v>
      </c>
      <c r="AD419">
        <v>7.86</v>
      </c>
      <c r="AE419">
        <v>7.9313500000000001</v>
      </c>
      <c r="AF419">
        <v>8.0027000000000008</v>
      </c>
      <c r="AG419">
        <v>8.0704999999999991</v>
      </c>
      <c r="AH419">
        <v>8.1382999999999992</v>
      </c>
      <c r="AI419">
        <v>8.2030499999999993</v>
      </c>
      <c r="AJ419">
        <v>8.2677999999999994</v>
      </c>
      <c r="AK419">
        <v>8.3298500000000004</v>
      </c>
      <c r="AL419">
        <v>8.3918999999999997</v>
      </c>
    </row>
    <row r="420" spans="1:38" x14ac:dyDescent="0.3">
      <c r="A420">
        <v>625</v>
      </c>
      <c r="B420">
        <v>160.44</v>
      </c>
      <c r="C420" t="s">
        <v>0</v>
      </c>
      <c r="D420">
        <v>1.103</v>
      </c>
      <c r="E420">
        <v>303.54000000000002</v>
      </c>
      <c r="F420" t="s">
        <v>21</v>
      </c>
      <c r="G420" t="s">
        <v>21</v>
      </c>
      <c r="H420" t="s">
        <v>21</v>
      </c>
      <c r="I420" t="s">
        <v>21</v>
      </c>
      <c r="J420">
        <v>316.31</v>
      </c>
      <c r="K420">
        <v>337.45</v>
      </c>
      <c r="L420">
        <v>353.83</v>
      </c>
      <c r="M420">
        <v>357.84</v>
      </c>
      <c r="N420">
        <v>369.87</v>
      </c>
      <c r="O420">
        <v>377.77</v>
      </c>
      <c r="P420">
        <v>385.67</v>
      </c>
      <c r="Q420">
        <v>397.3775</v>
      </c>
      <c r="R420">
        <v>401.28</v>
      </c>
      <c r="S420">
        <v>409.01499999999999</v>
      </c>
      <c r="T420">
        <v>416.75</v>
      </c>
      <c r="U420">
        <v>432.10199999999998</v>
      </c>
      <c r="V420">
        <v>435.94</v>
      </c>
      <c r="W420">
        <v>447.38200000000001</v>
      </c>
      <c r="X420">
        <v>455.01</v>
      </c>
      <c r="Y420">
        <v>462.58600000000001</v>
      </c>
      <c r="Z420">
        <v>473.95</v>
      </c>
      <c r="AA420">
        <v>477.738</v>
      </c>
      <c r="AB420">
        <v>492.89</v>
      </c>
      <c r="AC420">
        <v>511.71999999999997</v>
      </c>
      <c r="AD420">
        <v>530.54999999999995</v>
      </c>
      <c r="AE420">
        <v>549.29999999999995</v>
      </c>
      <c r="AF420">
        <v>568.04999999999995</v>
      </c>
      <c r="AG420">
        <v>586.75</v>
      </c>
      <c r="AH420">
        <v>605.45000000000005</v>
      </c>
      <c r="AI420">
        <v>624.10500000000002</v>
      </c>
      <c r="AJ420">
        <v>642.76</v>
      </c>
      <c r="AK420">
        <v>661.38499999999999</v>
      </c>
      <c r="AL420">
        <v>680.01</v>
      </c>
    </row>
    <row r="421" spans="1:38" x14ac:dyDescent="0.3">
      <c r="A421">
        <v>625</v>
      </c>
      <c r="B421">
        <v>160.44</v>
      </c>
      <c r="C421" t="s">
        <v>18</v>
      </c>
      <c r="D421">
        <v>676.69500000000005</v>
      </c>
      <c r="E421">
        <v>2567.5</v>
      </c>
      <c r="F421" t="s">
        <v>21</v>
      </c>
      <c r="G421" t="s">
        <v>21</v>
      </c>
      <c r="H421" t="s">
        <v>21</v>
      </c>
      <c r="I421" t="s">
        <v>21</v>
      </c>
      <c r="J421">
        <v>2593.9</v>
      </c>
      <c r="K421">
        <v>2637.5</v>
      </c>
      <c r="L421">
        <v>2671.2</v>
      </c>
      <c r="M421">
        <v>2679.45</v>
      </c>
      <c r="N421">
        <v>2704.2</v>
      </c>
      <c r="O421">
        <v>2720.5</v>
      </c>
      <c r="P421">
        <v>2736.8</v>
      </c>
      <c r="Q421">
        <v>2761.0250000000001</v>
      </c>
      <c r="R421">
        <v>2769.1</v>
      </c>
      <c r="S421">
        <v>2785.1499999999996</v>
      </c>
      <c r="T421">
        <v>2801.2</v>
      </c>
      <c r="U421">
        <v>2833.2</v>
      </c>
      <c r="V421">
        <v>2841.2</v>
      </c>
      <c r="W421">
        <v>2865.32</v>
      </c>
      <c r="X421">
        <v>2881.4</v>
      </c>
      <c r="Y421">
        <v>2897.54</v>
      </c>
      <c r="Z421">
        <v>2921.75</v>
      </c>
      <c r="AA421">
        <v>2929.82</v>
      </c>
      <c r="AB421">
        <v>2962.1</v>
      </c>
      <c r="AC421">
        <v>3003.05</v>
      </c>
      <c r="AD421">
        <v>3044</v>
      </c>
      <c r="AE421">
        <v>3085.7</v>
      </c>
      <c r="AF421">
        <v>3127.4</v>
      </c>
      <c r="AG421">
        <v>3169.8</v>
      </c>
      <c r="AH421">
        <v>3212.2</v>
      </c>
      <c r="AI421">
        <v>3255.5</v>
      </c>
      <c r="AJ421">
        <v>3298.8</v>
      </c>
      <c r="AK421">
        <v>3342.8500000000004</v>
      </c>
      <c r="AL421">
        <v>3386.9</v>
      </c>
    </row>
    <row r="422" spans="1:38" x14ac:dyDescent="0.3">
      <c r="A422">
        <v>625</v>
      </c>
      <c r="B422">
        <v>160.44</v>
      </c>
      <c r="C422" t="s">
        <v>19</v>
      </c>
      <c r="D422">
        <v>677.38400000000001</v>
      </c>
      <c r="E422">
        <v>2757.2</v>
      </c>
      <c r="F422" t="s">
        <v>21</v>
      </c>
      <c r="G422" t="s">
        <v>21</v>
      </c>
      <c r="H422" t="s">
        <v>21</v>
      </c>
      <c r="I422" t="s">
        <v>21</v>
      </c>
      <c r="J422">
        <v>2791.6</v>
      </c>
      <c r="K422">
        <v>2848.4</v>
      </c>
      <c r="L422">
        <v>2892.3</v>
      </c>
      <c r="M422">
        <v>2903.0750000000003</v>
      </c>
      <c r="N422">
        <v>2935.4</v>
      </c>
      <c r="O422">
        <v>2956.6000000000004</v>
      </c>
      <c r="P422">
        <v>2977.8</v>
      </c>
      <c r="Q422">
        <v>3009.375</v>
      </c>
      <c r="R422">
        <v>3019.9</v>
      </c>
      <c r="S422">
        <v>3040.8</v>
      </c>
      <c r="T422">
        <v>3061.7</v>
      </c>
      <c r="U422">
        <v>3103.2999999999997</v>
      </c>
      <c r="V422">
        <v>3113.7</v>
      </c>
      <c r="W422">
        <v>3144.8999999999996</v>
      </c>
      <c r="X422">
        <v>3165.7</v>
      </c>
      <c r="Y422">
        <v>3186.6</v>
      </c>
      <c r="Z422">
        <v>3217.95</v>
      </c>
      <c r="AA422">
        <v>3228.3999999999996</v>
      </c>
      <c r="AB422">
        <v>3270.2</v>
      </c>
      <c r="AC422">
        <v>3322.8999999999996</v>
      </c>
      <c r="AD422">
        <v>3375.6</v>
      </c>
      <c r="AE422">
        <v>3429</v>
      </c>
      <c r="AF422">
        <v>3482.4</v>
      </c>
      <c r="AG422">
        <v>3536.55</v>
      </c>
      <c r="AH422">
        <v>3590.7</v>
      </c>
      <c r="AI422">
        <v>3645.6</v>
      </c>
      <c r="AJ422">
        <v>3700.5</v>
      </c>
      <c r="AK422">
        <v>3756.2000000000003</v>
      </c>
      <c r="AL422">
        <v>3811.9</v>
      </c>
    </row>
    <row r="423" spans="1:38" x14ac:dyDescent="0.3">
      <c r="A423">
        <v>625</v>
      </c>
      <c r="B423">
        <v>160.44</v>
      </c>
      <c r="C423" t="s">
        <v>20</v>
      </c>
      <c r="D423">
        <v>1.9469000000000001</v>
      </c>
      <c r="E423">
        <v>6.7436999999999996</v>
      </c>
      <c r="F423" t="s">
        <v>21</v>
      </c>
      <c r="G423" t="s">
        <v>21</v>
      </c>
      <c r="H423" t="s">
        <v>21</v>
      </c>
      <c r="I423" t="s">
        <v>21</v>
      </c>
      <c r="J423">
        <v>6.8216999999999999</v>
      </c>
      <c r="K423">
        <v>6.9451000000000001</v>
      </c>
      <c r="L423">
        <v>7.0361000000000002</v>
      </c>
      <c r="M423">
        <v>7.0575000000000001</v>
      </c>
      <c r="N423">
        <v>7.1216999999999997</v>
      </c>
      <c r="O423">
        <v>7.1622500000000002</v>
      </c>
      <c r="P423">
        <v>7.2027999999999999</v>
      </c>
      <c r="Q423">
        <v>7.2608499999999996</v>
      </c>
      <c r="R423">
        <v>7.2801999999999998</v>
      </c>
      <c r="S423">
        <v>7.3172999999999995</v>
      </c>
      <c r="T423">
        <v>7.3544</v>
      </c>
      <c r="U423">
        <v>7.4255199999999997</v>
      </c>
      <c r="V423">
        <v>7.4432999999999998</v>
      </c>
      <c r="W423">
        <v>7.4944199999999999</v>
      </c>
      <c r="X423">
        <v>7.5285000000000002</v>
      </c>
      <c r="Y423">
        <v>7.56074</v>
      </c>
      <c r="Z423">
        <v>7.6090999999999998</v>
      </c>
      <c r="AA423">
        <v>7.6252199999999997</v>
      </c>
      <c r="AB423">
        <v>7.6897000000000002</v>
      </c>
      <c r="AC423">
        <v>7.76525</v>
      </c>
      <c r="AD423">
        <v>7.8407999999999998</v>
      </c>
      <c r="AE423">
        <v>7.9122000000000003</v>
      </c>
      <c r="AF423">
        <v>7.9836</v>
      </c>
      <c r="AG423">
        <v>8.0513999999999992</v>
      </c>
      <c r="AH423">
        <v>8.1191999999999993</v>
      </c>
      <c r="AI423">
        <v>8.1839999999999993</v>
      </c>
      <c r="AJ423">
        <v>8.2487999999999992</v>
      </c>
      <c r="AK423">
        <v>8.3108499999999985</v>
      </c>
      <c r="AL423">
        <v>8.3728999999999996</v>
      </c>
    </row>
    <row r="424" spans="1:38" x14ac:dyDescent="0.3">
      <c r="A424">
        <v>650</v>
      </c>
      <c r="B424">
        <v>161.99</v>
      </c>
      <c r="C424" t="s">
        <v>0</v>
      </c>
      <c r="D424">
        <v>1.105</v>
      </c>
      <c r="E424">
        <v>292.49</v>
      </c>
      <c r="F424" t="s">
        <v>21</v>
      </c>
      <c r="G424" t="s">
        <v>21</v>
      </c>
      <c r="H424" t="s">
        <v>21</v>
      </c>
      <c r="I424" t="s">
        <v>21</v>
      </c>
      <c r="J424">
        <v>303.52999999999997</v>
      </c>
      <c r="K424">
        <v>323.98</v>
      </c>
      <c r="L424">
        <v>339.8</v>
      </c>
      <c r="M424">
        <v>343.67250000000001</v>
      </c>
      <c r="N424">
        <v>355.29</v>
      </c>
      <c r="O424">
        <v>362.90499999999997</v>
      </c>
      <c r="P424">
        <v>370.52</v>
      </c>
      <c r="Q424">
        <v>381.8</v>
      </c>
      <c r="R424">
        <v>385.56</v>
      </c>
      <c r="S424">
        <v>393.01499999999999</v>
      </c>
      <c r="T424">
        <v>400.47</v>
      </c>
      <c r="U424">
        <v>415.25400000000002</v>
      </c>
      <c r="V424">
        <v>418.95</v>
      </c>
      <c r="W424">
        <v>429.96600000000001</v>
      </c>
      <c r="X424">
        <v>437.31</v>
      </c>
      <c r="Y424">
        <v>444.60399999999998</v>
      </c>
      <c r="Z424">
        <v>455.54499999999996</v>
      </c>
      <c r="AA424">
        <v>459.19199999999995</v>
      </c>
      <c r="AB424">
        <v>473.78</v>
      </c>
      <c r="AC424">
        <v>491.89499999999998</v>
      </c>
      <c r="AD424">
        <v>510.01</v>
      </c>
      <c r="AE424">
        <v>528.05500000000006</v>
      </c>
      <c r="AF424">
        <v>546.1</v>
      </c>
      <c r="AG424">
        <v>564.08500000000004</v>
      </c>
      <c r="AH424">
        <v>582.07000000000005</v>
      </c>
      <c r="AI424">
        <v>600.0150000000001</v>
      </c>
      <c r="AJ424">
        <v>617.96</v>
      </c>
      <c r="AK424">
        <v>635.875</v>
      </c>
      <c r="AL424">
        <v>653.79</v>
      </c>
    </row>
    <row r="425" spans="1:38" x14ac:dyDescent="0.3">
      <c r="A425">
        <v>650</v>
      </c>
      <c r="B425">
        <v>161.99</v>
      </c>
      <c r="C425" t="s">
        <v>18</v>
      </c>
      <c r="D425">
        <v>683.41700000000003</v>
      </c>
      <c r="E425">
        <v>2568.6999999999998</v>
      </c>
      <c r="F425" t="s">
        <v>21</v>
      </c>
      <c r="G425" t="s">
        <v>21</v>
      </c>
      <c r="H425" t="s">
        <v>21</v>
      </c>
      <c r="I425" t="s">
        <v>21</v>
      </c>
      <c r="J425">
        <v>2592.5</v>
      </c>
      <c r="K425">
        <v>2636.4</v>
      </c>
      <c r="L425">
        <v>2670.3</v>
      </c>
      <c r="M425">
        <v>2678.6000000000004</v>
      </c>
      <c r="N425">
        <v>2703.5</v>
      </c>
      <c r="O425">
        <v>2719.85</v>
      </c>
      <c r="P425">
        <v>2736.2</v>
      </c>
      <c r="Q425">
        <v>2760.4250000000002</v>
      </c>
      <c r="R425">
        <v>2768.5</v>
      </c>
      <c r="S425">
        <v>2784.6</v>
      </c>
      <c r="T425">
        <v>2800.7</v>
      </c>
      <c r="U425">
        <v>2832.86</v>
      </c>
      <c r="V425">
        <v>2840.9</v>
      </c>
      <c r="W425">
        <v>2864.96</v>
      </c>
      <c r="X425">
        <v>2881</v>
      </c>
      <c r="Y425">
        <v>2897.16</v>
      </c>
      <c r="Z425">
        <v>2921.4</v>
      </c>
      <c r="AA425">
        <v>2929.48</v>
      </c>
      <c r="AB425">
        <v>2961.8</v>
      </c>
      <c r="AC425">
        <v>3002.8</v>
      </c>
      <c r="AD425">
        <v>3043.8</v>
      </c>
      <c r="AE425">
        <v>3085.5</v>
      </c>
      <c r="AF425">
        <v>3127.2</v>
      </c>
      <c r="AG425">
        <v>3169.6499999999996</v>
      </c>
      <c r="AH425">
        <v>3212.1</v>
      </c>
      <c r="AI425">
        <v>3255.35</v>
      </c>
      <c r="AJ425">
        <v>3298.6</v>
      </c>
      <c r="AK425">
        <v>3342.7</v>
      </c>
      <c r="AL425">
        <v>3386.8</v>
      </c>
    </row>
    <row r="426" spans="1:38" x14ac:dyDescent="0.3">
      <c r="A426">
        <v>650</v>
      </c>
      <c r="B426">
        <v>161.99</v>
      </c>
      <c r="C426" t="s">
        <v>19</v>
      </c>
      <c r="D426">
        <v>684.13499999999999</v>
      </c>
      <c r="E426">
        <v>2758.9</v>
      </c>
      <c r="F426" t="s">
        <v>21</v>
      </c>
      <c r="G426" t="s">
        <v>21</v>
      </c>
      <c r="H426" t="s">
        <v>21</v>
      </c>
      <c r="I426" t="s">
        <v>21</v>
      </c>
      <c r="J426">
        <v>2789.8</v>
      </c>
      <c r="K426">
        <v>2847</v>
      </c>
      <c r="L426">
        <v>2891.2</v>
      </c>
      <c r="M426">
        <v>2902</v>
      </c>
      <c r="N426">
        <v>2934.4</v>
      </c>
      <c r="O426">
        <v>2955.7</v>
      </c>
      <c r="P426">
        <v>2977</v>
      </c>
      <c r="Q426">
        <v>3008.6499999999996</v>
      </c>
      <c r="R426">
        <v>3019.2</v>
      </c>
      <c r="S426">
        <v>3040.1</v>
      </c>
      <c r="T426">
        <v>3061</v>
      </c>
      <c r="U426">
        <v>3102.7599999999998</v>
      </c>
      <c r="V426">
        <v>3113.2</v>
      </c>
      <c r="W426">
        <v>3144.46</v>
      </c>
      <c r="X426">
        <v>3165.3</v>
      </c>
      <c r="Y426">
        <v>3186.2000000000003</v>
      </c>
      <c r="Z426">
        <v>3217.55</v>
      </c>
      <c r="AA426">
        <v>3228</v>
      </c>
      <c r="AB426">
        <v>3269.8</v>
      </c>
      <c r="AC426">
        <v>3322.55</v>
      </c>
      <c r="AD426">
        <v>3375.3</v>
      </c>
      <c r="AE426">
        <v>3428.7</v>
      </c>
      <c r="AF426">
        <v>3482.1</v>
      </c>
      <c r="AG426">
        <v>3536.25</v>
      </c>
      <c r="AH426">
        <v>3590.4</v>
      </c>
      <c r="AI426">
        <v>3645.3500000000004</v>
      </c>
      <c r="AJ426">
        <v>3700.3</v>
      </c>
      <c r="AK426">
        <v>3756.05</v>
      </c>
      <c r="AL426">
        <v>3811.8</v>
      </c>
    </row>
    <row r="427" spans="1:38" x14ac:dyDescent="0.3">
      <c r="A427">
        <v>650</v>
      </c>
      <c r="B427">
        <v>161.99</v>
      </c>
      <c r="C427" t="s">
        <v>20</v>
      </c>
      <c r="D427">
        <v>1.9622999999999999</v>
      </c>
      <c r="E427">
        <v>6.7304000000000004</v>
      </c>
      <c r="F427" t="s">
        <v>21</v>
      </c>
      <c r="G427" t="s">
        <v>21</v>
      </c>
      <c r="H427" t="s">
        <v>21</v>
      </c>
      <c r="I427" t="s">
        <v>21</v>
      </c>
      <c r="J427">
        <v>6.8003999999999998</v>
      </c>
      <c r="K427">
        <v>6.9246999999999996</v>
      </c>
      <c r="L427">
        <v>7.0162000000000004</v>
      </c>
      <c r="M427">
        <v>7.0376750000000001</v>
      </c>
      <c r="N427">
        <v>7.1021000000000001</v>
      </c>
      <c r="O427">
        <v>7.1428000000000003</v>
      </c>
      <c r="P427">
        <v>7.1835000000000004</v>
      </c>
      <c r="Q427">
        <v>7.2416999999999998</v>
      </c>
      <c r="R427">
        <v>7.2610999999999999</v>
      </c>
      <c r="S427">
        <v>7.2982999999999993</v>
      </c>
      <c r="T427">
        <v>7.3354999999999997</v>
      </c>
      <c r="U427">
        <v>7.4066999999999998</v>
      </c>
      <c r="V427">
        <v>7.4245000000000001</v>
      </c>
      <c r="W427">
        <v>7.4757400000000001</v>
      </c>
      <c r="X427">
        <v>7.5099</v>
      </c>
      <c r="Y427">
        <v>7.54216</v>
      </c>
      <c r="Z427">
        <v>7.5905500000000004</v>
      </c>
      <c r="AA427">
        <v>7.6066799999999999</v>
      </c>
      <c r="AB427">
        <v>7.6711999999999998</v>
      </c>
      <c r="AC427">
        <v>7.7468000000000004</v>
      </c>
      <c r="AD427">
        <v>7.8224</v>
      </c>
      <c r="AE427">
        <v>7.8938000000000006</v>
      </c>
      <c r="AF427">
        <v>7.9652000000000003</v>
      </c>
      <c r="AG427">
        <v>8.0330499999999994</v>
      </c>
      <c r="AH427">
        <v>8.1008999999999993</v>
      </c>
      <c r="AI427">
        <v>8.1656999999999993</v>
      </c>
      <c r="AJ427">
        <v>8.2304999999999993</v>
      </c>
      <c r="AK427">
        <v>8.2925499999999985</v>
      </c>
      <c r="AL427">
        <v>8.3545999999999996</v>
      </c>
    </row>
    <row r="428" spans="1:38" x14ac:dyDescent="0.3">
      <c r="A428">
        <v>675</v>
      </c>
      <c r="B428">
        <v>163.49</v>
      </c>
      <c r="C428" t="s">
        <v>0</v>
      </c>
      <c r="D428">
        <v>1.1060000000000001</v>
      </c>
      <c r="E428">
        <v>282.23</v>
      </c>
      <c r="F428" t="s">
        <v>21</v>
      </c>
      <c r="G428" t="s">
        <v>21</v>
      </c>
      <c r="H428" t="s">
        <v>21</v>
      </c>
      <c r="I428" t="s">
        <v>21</v>
      </c>
      <c r="J428">
        <v>291.69</v>
      </c>
      <c r="K428">
        <v>311.51</v>
      </c>
      <c r="L428">
        <v>326.81</v>
      </c>
      <c r="M428">
        <v>330.55250000000001</v>
      </c>
      <c r="N428">
        <v>341.78</v>
      </c>
      <c r="O428">
        <v>349.13499999999999</v>
      </c>
      <c r="P428">
        <v>356.49</v>
      </c>
      <c r="Q428">
        <v>367.38</v>
      </c>
      <c r="R428">
        <v>371.01</v>
      </c>
      <c r="S428">
        <v>378.2</v>
      </c>
      <c r="T428">
        <v>385.39</v>
      </c>
      <c r="U428">
        <v>399.654</v>
      </c>
      <c r="V428">
        <v>403.22</v>
      </c>
      <c r="W428">
        <v>413.84000000000003</v>
      </c>
      <c r="X428">
        <v>420.92</v>
      </c>
      <c r="Y428">
        <v>427.95</v>
      </c>
      <c r="Z428">
        <v>438.495</v>
      </c>
      <c r="AA428">
        <v>442.01</v>
      </c>
      <c r="AB428">
        <v>456.07</v>
      </c>
      <c r="AC428">
        <v>473.53499999999997</v>
      </c>
      <c r="AD428">
        <v>491</v>
      </c>
      <c r="AE428">
        <v>508.38499999999999</v>
      </c>
      <c r="AF428">
        <v>525.77</v>
      </c>
      <c r="AG428">
        <v>543.09999999999991</v>
      </c>
      <c r="AH428">
        <v>560.42999999999995</v>
      </c>
      <c r="AI428">
        <v>577.71499999999992</v>
      </c>
      <c r="AJ428">
        <v>595</v>
      </c>
      <c r="AK428">
        <v>612.255</v>
      </c>
      <c r="AL428">
        <v>629.51</v>
      </c>
    </row>
    <row r="429" spans="1:38" x14ac:dyDescent="0.3">
      <c r="A429">
        <v>675</v>
      </c>
      <c r="B429">
        <v>163.49</v>
      </c>
      <c r="C429" t="s">
        <v>18</v>
      </c>
      <c r="D429">
        <v>689.94299999999998</v>
      </c>
      <c r="E429">
        <v>2570</v>
      </c>
      <c r="F429" t="s">
        <v>21</v>
      </c>
      <c r="G429" t="s">
        <v>21</v>
      </c>
      <c r="H429" t="s">
        <v>21</v>
      </c>
      <c r="I429" t="s">
        <v>21</v>
      </c>
      <c r="J429">
        <v>2591.1</v>
      </c>
      <c r="K429">
        <v>2635.4</v>
      </c>
      <c r="L429">
        <v>2669.5</v>
      </c>
      <c r="M429">
        <v>2677.8249999999998</v>
      </c>
      <c r="N429">
        <v>2702.8</v>
      </c>
      <c r="O429">
        <v>2719.2</v>
      </c>
      <c r="P429">
        <v>2735.6</v>
      </c>
      <c r="Q429">
        <v>2759.9</v>
      </c>
      <c r="R429">
        <v>2768</v>
      </c>
      <c r="S429">
        <v>2784.15</v>
      </c>
      <c r="T429">
        <v>2800.3</v>
      </c>
      <c r="U429">
        <v>2832.46</v>
      </c>
      <c r="V429">
        <v>2840.5</v>
      </c>
      <c r="W429">
        <v>2864.62</v>
      </c>
      <c r="X429">
        <v>2880.7</v>
      </c>
      <c r="Y429">
        <v>2896.8799999999997</v>
      </c>
      <c r="Z429">
        <v>2921.1499999999996</v>
      </c>
      <c r="AA429">
        <v>2929.24</v>
      </c>
      <c r="AB429">
        <v>2961.6</v>
      </c>
      <c r="AC429">
        <v>3002.6</v>
      </c>
      <c r="AD429">
        <v>3043.6</v>
      </c>
      <c r="AE429">
        <v>3085.3</v>
      </c>
      <c r="AF429">
        <v>3127</v>
      </c>
      <c r="AG429">
        <v>3169.45</v>
      </c>
      <c r="AH429">
        <v>3211.9</v>
      </c>
      <c r="AI429">
        <v>3255.2</v>
      </c>
      <c r="AJ429">
        <v>3298.5</v>
      </c>
      <c r="AK429">
        <v>3342.6</v>
      </c>
      <c r="AL429">
        <v>3386.7</v>
      </c>
    </row>
    <row r="430" spans="1:38" x14ac:dyDescent="0.3">
      <c r="A430">
        <v>675</v>
      </c>
      <c r="B430">
        <v>163.49</v>
      </c>
      <c r="C430" t="s">
        <v>19</v>
      </c>
      <c r="D430">
        <v>690.68899999999996</v>
      </c>
      <c r="E430">
        <v>2760.5</v>
      </c>
      <c r="F430" t="s">
        <v>21</v>
      </c>
      <c r="G430" t="s">
        <v>21</v>
      </c>
      <c r="H430" t="s">
        <v>21</v>
      </c>
      <c r="I430" t="s">
        <v>21</v>
      </c>
      <c r="J430">
        <v>2788</v>
      </c>
      <c r="K430">
        <v>2845.6</v>
      </c>
      <c r="L430">
        <v>2890.1</v>
      </c>
      <c r="M430">
        <v>2900.95</v>
      </c>
      <c r="N430">
        <v>2933.5</v>
      </c>
      <c r="O430">
        <v>2954.85</v>
      </c>
      <c r="P430">
        <v>2976.2</v>
      </c>
      <c r="Q430">
        <v>3007.9250000000002</v>
      </c>
      <c r="R430">
        <v>3018.5</v>
      </c>
      <c r="S430">
        <v>3039.45</v>
      </c>
      <c r="T430">
        <v>3060.4</v>
      </c>
      <c r="U430">
        <v>3102.16</v>
      </c>
      <c r="V430">
        <v>3112.6</v>
      </c>
      <c r="W430">
        <v>3143.92</v>
      </c>
      <c r="X430">
        <v>3164.8</v>
      </c>
      <c r="Y430">
        <v>3185.7200000000003</v>
      </c>
      <c r="Z430">
        <v>3217.1000000000004</v>
      </c>
      <c r="AA430">
        <v>3227.5600000000004</v>
      </c>
      <c r="AB430">
        <v>3269.4</v>
      </c>
      <c r="AC430">
        <v>3322.2</v>
      </c>
      <c r="AD430">
        <v>3375</v>
      </c>
      <c r="AE430">
        <v>3428.4</v>
      </c>
      <c r="AF430">
        <v>3481.8</v>
      </c>
      <c r="AG430">
        <v>3536</v>
      </c>
      <c r="AH430">
        <v>3590.2</v>
      </c>
      <c r="AI430">
        <v>3645.1499999999996</v>
      </c>
      <c r="AJ430">
        <v>3700.1</v>
      </c>
      <c r="AK430">
        <v>3755.85</v>
      </c>
      <c r="AL430">
        <v>3811.6</v>
      </c>
    </row>
    <row r="431" spans="1:38" x14ac:dyDescent="0.3">
      <c r="A431">
        <v>675</v>
      </c>
      <c r="B431">
        <v>163.49</v>
      </c>
      <c r="C431" t="s">
        <v>20</v>
      </c>
      <c r="D431">
        <v>1.9773000000000001</v>
      </c>
      <c r="E431">
        <v>6.7176</v>
      </c>
      <c r="F431" t="s">
        <v>21</v>
      </c>
      <c r="G431" t="s">
        <v>21</v>
      </c>
      <c r="H431" t="s">
        <v>21</v>
      </c>
      <c r="I431" t="s">
        <v>21</v>
      </c>
      <c r="J431">
        <v>6.7797999999999998</v>
      </c>
      <c r="K431">
        <v>6.9050000000000002</v>
      </c>
      <c r="L431">
        <v>6.9969999999999999</v>
      </c>
      <c r="M431">
        <v>7.0185750000000002</v>
      </c>
      <c r="N431">
        <v>7.0833000000000004</v>
      </c>
      <c r="O431">
        <v>7.1241500000000002</v>
      </c>
      <c r="P431">
        <v>7.165</v>
      </c>
      <c r="Q431">
        <v>7.2233499999999999</v>
      </c>
      <c r="R431">
        <v>7.2427999999999999</v>
      </c>
      <c r="S431">
        <v>7.2800500000000001</v>
      </c>
      <c r="T431">
        <v>7.3173000000000004</v>
      </c>
      <c r="U431">
        <v>7.3885800000000001</v>
      </c>
      <c r="V431">
        <v>7.4063999999999997</v>
      </c>
      <c r="W431">
        <v>7.4577</v>
      </c>
      <c r="X431">
        <v>7.4919000000000002</v>
      </c>
      <c r="Y431">
        <v>7.5242000000000004</v>
      </c>
      <c r="Z431">
        <v>7.5726500000000003</v>
      </c>
      <c r="AA431">
        <v>7.5888</v>
      </c>
      <c r="AB431">
        <v>7.6534000000000004</v>
      </c>
      <c r="AC431">
        <v>7.7290000000000001</v>
      </c>
      <c r="AD431">
        <v>7.8045999999999998</v>
      </c>
      <c r="AE431">
        <v>7.8760499999999993</v>
      </c>
      <c r="AF431">
        <v>7.9474999999999998</v>
      </c>
      <c r="AG431">
        <v>8.0153999999999996</v>
      </c>
      <c r="AH431">
        <v>8.0832999999999995</v>
      </c>
      <c r="AI431">
        <v>8.1480999999999995</v>
      </c>
      <c r="AJ431">
        <v>8.2128999999999994</v>
      </c>
      <c r="AK431">
        <v>8.2749999999999986</v>
      </c>
      <c r="AL431">
        <v>8.3370999999999995</v>
      </c>
    </row>
    <row r="432" spans="1:38" x14ac:dyDescent="0.3">
      <c r="A432">
        <v>700</v>
      </c>
      <c r="B432">
        <v>164.96</v>
      </c>
      <c r="C432" t="s">
        <v>0</v>
      </c>
      <c r="D432">
        <v>1.1080000000000001</v>
      </c>
      <c r="E432">
        <v>272.68</v>
      </c>
      <c r="F432" t="s">
        <v>21</v>
      </c>
      <c r="G432" t="s">
        <v>21</v>
      </c>
      <c r="H432" t="s">
        <v>21</v>
      </c>
      <c r="I432" t="s">
        <v>21</v>
      </c>
      <c r="J432">
        <v>280.69</v>
      </c>
      <c r="K432">
        <v>299.92</v>
      </c>
      <c r="L432">
        <v>314.75</v>
      </c>
      <c r="M432">
        <v>318.37</v>
      </c>
      <c r="N432">
        <v>329.23</v>
      </c>
      <c r="O432">
        <v>336.34500000000003</v>
      </c>
      <c r="P432">
        <v>343.46</v>
      </c>
      <c r="Q432">
        <v>353.99</v>
      </c>
      <c r="R432">
        <v>357.5</v>
      </c>
      <c r="S432">
        <v>364.44499999999999</v>
      </c>
      <c r="T432">
        <v>371.39</v>
      </c>
      <c r="U432">
        <v>385.166</v>
      </c>
      <c r="V432">
        <v>388.61</v>
      </c>
      <c r="W432">
        <v>398.87</v>
      </c>
      <c r="X432">
        <v>405.71</v>
      </c>
      <c r="Y432">
        <v>412.49599999999998</v>
      </c>
      <c r="Z432">
        <v>422.67499999999995</v>
      </c>
      <c r="AA432">
        <v>426.06799999999998</v>
      </c>
      <c r="AB432">
        <v>439.64</v>
      </c>
      <c r="AC432">
        <v>456.49</v>
      </c>
      <c r="AD432">
        <v>473.34</v>
      </c>
      <c r="AE432">
        <v>490.11500000000001</v>
      </c>
      <c r="AF432">
        <v>506.89</v>
      </c>
      <c r="AG432">
        <v>523.61</v>
      </c>
      <c r="AH432">
        <v>540.33000000000004</v>
      </c>
      <c r="AI432">
        <v>557.005</v>
      </c>
      <c r="AJ432">
        <v>573.67999999999995</v>
      </c>
      <c r="AK432">
        <v>590.32500000000005</v>
      </c>
      <c r="AL432">
        <v>606.97</v>
      </c>
    </row>
    <row r="433" spans="1:38" x14ac:dyDescent="0.3">
      <c r="A433">
        <v>700</v>
      </c>
      <c r="B433">
        <v>164.96</v>
      </c>
      <c r="C433" t="s">
        <v>18</v>
      </c>
      <c r="D433">
        <v>696.28499999999997</v>
      </c>
      <c r="E433">
        <v>2571.1</v>
      </c>
      <c r="F433" t="s">
        <v>21</v>
      </c>
      <c r="G433" t="s">
        <v>21</v>
      </c>
      <c r="H433" t="s">
        <v>21</v>
      </c>
      <c r="I433" t="s">
        <v>21</v>
      </c>
      <c r="J433">
        <v>2589.6999999999998</v>
      </c>
      <c r="K433">
        <v>2634.3</v>
      </c>
      <c r="L433">
        <v>2668.6</v>
      </c>
      <c r="M433">
        <v>2676.9749999999999</v>
      </c>
      <c r="N433">
        <v>2702.1</v>
      </c>
      <c r="O433">
        <v>2718.55</v>
      </c>
      <c r="P433">
        <v>2735</v>
      </c>
      <c r="Q433">
        <v>2759.375</v>
      </c>
      <c r="R433">
        <v>2767.5</v>
      </c>
      <c r="S433">
        <v>2783.65</v>
      </c>
      <c r="T433">
        <v>2799.8</v>
      </c>
      <c r="U433">
        <v>2832.04</v>
      </c>
      <c r="V433">
        <v>2840.1</v>
      </c>
      <c r="W433">
        <v>2864.2200000000003</v>
      </c>
      <c r="X433">
        <v>2880.3</v>
      </c>
      <c r="Y433">
        <v>2896.5</v>
      </c>
      <c r="Z433">
        <v>2920.8</v>
      </c>
      <c r="AA433">
        <v>2928.9</v>
      </c>
      <c r="AB433">
        <v>2961.3</v>
      </c>
      <c r="AC433">
        <v>3002.3</v>
      </c>
      <c r="AD433">
        <v>3043.3</v>
      </c>
      <c r="AE433">
        <v>3085.05</v>
      </c>
      <c r="AF433">
        <v>3126.8</v>
      </c>
      <c r="AG433">
        <v>3169.25</v>
      </c>
      <c r="AH433">
        <v>3211.7</v>
      </c>
      <c r="AI433">
        <v>3255</v>
      </c>
      <c r="AJ433">
        <v>3298.3</v>
      </c>
      <c r="AK433">
        <v>3342.4</v>
      </c>
      <c r="AL433">
        <v>3386.5</v>
      </c>
    </row>
    <row r="434" spans="1:38" x14ac:dyDescent="0.3">
      <c r="A434">
        <v>700</v>
      </c>
      <c r="B434">
        <v>164.96</v>
      </c>
      <c r="C434" t="s">
        <v>19</v>
      </c>
      <c r="D434">
        <v>697.06100000000004</v>
      </c>
      <c r="E434">
        <v>2762</v>
      </c>
      <c r="F434" t="s">
        <v>21</v>
      </c>
      <c r="G434" t="s">
        <v>21</v>
      </c>
      <c r="H434" t="s">
        <v>21</v>
      </c>
      <c r="I434" t="s">
        <v>21</v>
      </c>
      <c r="J434">
        <v>2786.2</v>
      </c>
      <c r="K434">
        <v>2844.2</v>
      </c>
      <c r="L434">
        <v>2888.9</v>
      </c>
      <c r="M434">
        <v>2899.8</v>
      </c>
      <c r="N434">
        <v>2932.5</v>
      </c>
      <c r="O434">
        <v>2953.95</v>
      </c>
      <c r="P434">
        <v>2975.4</v>
      </c>
      <c r="Q434">
        <v>3007.125</v>
      </c>
      <c r="R434">
        <v>3017.7</v>
      </c>
      <c r="S434">
        <v>3038.75</v>
      </c>
      <c r="T434">
        <v>3059.8</v>
      </c>
      <c r="U434">
        <v>3101.64</v>
      </c>
      <c r="V434">
        <v>3112.1</v>
      </c>
      <c r="W434">
        <v>3143.42</v>
      </c>
      <c r="X434">
        <v>3164.3</v>
      </c>
      <c r="Y434">
        <v>3185.2400000000002</v>
      </c>
      <c r="Z434">
        <v>3216.65</v>
      </c>
      <c r="AA434">
        <v>3227.12</v>
      </c>
      <c r="AB434">
        <v>3269</v>
      </c>
      <c r="AC434">
        <v>3321.85</v>
      </c>
      <c r="AD434">
        <v>3374.7</v>
      </c>
      <c r="AE434">
        <v>3428.1499999999996</v>
      </c>
      <c r="AF434">
        <v>3481.6</v>
      </c>
      <c r="AG434">
        <v>3535.75</v>
      </c>
      <c r="AH434">
        <v>3589.9</v>
      </c>
      <c r="AI434">
        <v>3644.9</v>
      </c>
      <c r="AJ434">
        <v>3699.9</v>
      </c>
      <c r="AK434">
        <v>3755.65</v>
      </c>
      <c r="AL434">
        <v>3811.4</v>
      </c>
    </row>
    <row r="435" spans="1:38" x14ac:dyDescent="0.3">
      <c r="A435">
        <v>700</v>
      </c>
      <c r="B435">
        <v>164.96</v>
      </c>
      <c r="C435" t="s">
        <v>20</v>
      </c>
      <c r="D435">
        <v>1.9918</v>
      </c>
      <c r="E435">
        <v>6.7051999999999996</v>
      </c>
      <c r="F435" t="s">
        <v>21</v>
      </c>
      <c r="G435" t="s">
        <v>21</v>
      </c>
      <c r="H435" t="s">
        <v>21</v>
      </c>
      <c r="I435" t="s">
        <v>21</v>
      </c>
      <c r="J435">
        <v>6.7598000000000003</v>
      </c>
      <c r="K435">
        <v>6.8859000000000004</v>
      </c>
      <c r="L435">
        <v>6.9783999999999997</v>
      </c>
      <c r="M435">
        <v>7.0000749999999998</v>
      </c>
      <c r="N435">
        <v>7.0651000000000002</v>
      </c>
      <c r="O435">
        <v>7.1060499999999998</v>
      </c>
      <c r="P435">
        <v>7.1470000000000002</v>
      </c>
      <c r="Q435">
        <v>7.2054999999999998</v>
      </c>
      <c r="R435">
        <v>7.2249999999999996</v>
      </c>
      <c r="S435">
        <v>7.2623499999999996</v>
      </c>
      <c r="T435">
        <v>7.2996999999999996</v>
      </c>
      <c r="U435">
        <v>7.3711400000000005</v>
      </c>
      <c r="V435">
        <v>7.3890000000000002</v>
      </c>
      <c r="W435">
        <v>7.4402999999999997</v>
      </c>
      <c r="X435">
        <v>7.4744999999999999</v>
      </c>
      <c r="Y435">
        <v>7.5068399999999995</v>
      </c>
      <c r="Z435">
        <v>7.5553499999999998</v>
      </c>
      <c r="AA435">
        <v>7.5715199999999996</v>
      </c>
      <c r="AB435">
        <v>7.6361999999999997</v>
      </c>
      <c r="AC435">
        <v>7.7118500000000001</v>
      </c>
      <c r="AD435">
        <v>7.7874999999999996</v>
      </c>
      <c r="AE435">
        <v>7.859</v>
      </c>
      <c r="AF435">
        <v>7.9305000000000003</v>
      </c>
      <c r="AG435">
        <v>7.9984000000000002</v>
      </c>
      <c r="AH435">
        <v>8.0663</v>
      </c>
      <c r="AI435">
        <v>8.1311</v>
      </c>
      <c r="AJ435">
        <v>8.1959</v>
      </c>
      <c r="AK435">
        <v>8.2579999999999991</v>
      </c>
      <c r="AL435">
        <v>8.3201000000000001</v>
      </c>
    </row>
    <row r="436" spans="1:38" x14ac:dyDescent="0.3">
      <c r="A436">
        <v>725</v>
      </c>
      <c r="B436">
        <v>166.38</v>
      </c>
      <c r="C436" t="s">
        <v>0</v>
      </c>
      <c r="D436">
        <v>1.1100000000000001</v>
      </c>
      <c r="E436">
        <v>263.77</v>
      </c>
      <c r="F436" t="s">
        <v>21</v>
      </c>
      <c r="G436" t="s">
        <v>21</v>
      </c>
      <c r="H436" t="s">
        <v>21</v>
      </c>
      <c r="I436" t="s">
        <v>21</v>
      </c>
      <c r="J436">
        <v>270.45</v>
      </c>
      <c r="K436">
        <v>289.13</v>
      </c>
      <c r="L436">
        <v>303.51</v>
      </c>
      <c r="M436">
        <v>307.02</v>
      </c>
      <c r="N436">
        <v>317.55</v>
      </c>
      <c r="O436">
        <v>324.44</v>
      </c>
      <c r="P436">
        <v>331.33</v>
      </c>
      <c r="Q436">
        <v>341.52250000000004</v>
      </c>
      <c r="R436">
        <v>344.92</v>
      </c>
      <c r="S436">
        <v>351.64</v>
      </c>
      <c r="T436">
        <v>358.36</v>
      </c>
      <c r="U436">
        <v>371.68</v>
      </c>
      <c r="V436">
        <v>375.01</v>
      </c>
      <c r="W436">
        <v>384.928</v>
      </c>
      <c r="X436">
        <v>391.54</v>
      </c>
      <c r="Y436">
        <v>398.09800000000001</v>
      </c>
      <c r="Z436">
        <v>407.935</v>
      </c>
      <c r="AA436">
        <v>411.214</v>
      </c>
      <c r="AB436">
        <v>424.33</v>
      </c>
      <c r="AC436">
        <v>440.61500000000001</v>
      </c>
      <c r="AD436">
        <v>456.9</v>
      </c>
      <c r="AE436">
        <v>473.10500000000002</v>
      </c>
      <c r="AF436">
        <v>489.31</v>
      </c>
      <c r="AG436">
        <v>505.46000000000004</v>
      </c>
      <c r="AH436">
        <v>521.61</v>
      </c>
      <c r="AI436">
        <v>537.72</v>
      </c>
      <c r="AJ436">
        <v>553.83000000000004</v>
      </c>
      <c r="AK436">
        <v>569.91000000000008</v>
      </c>
      <c r="AL436">
        <v>585.99</v>
      </c>
    </row>
    <row r="437" spans="1:38" x14ac:dyDescent="0.3">
      <c r="A437">
        <v>725</v>
      </c>
      <c r="B437">
        <v>166.38</v>
      </c>
      <c r="C437" t="s">
        <v>18</v>
      </c>
      <c r="D437">
        <v>702.45699999999999</v>
      </c>
      <c r="E437">
        <v>2572.1999999999998</v>
      </c>
      <c r="F437" t="s">
        <v>21</v>
      </c>
      <c r="G437" t="s">
        <v>21</v>
      </c>
      <c r="H437" t="s">
        <v>21</v>
      </c>
      <c r="I437" t="s">
        <v>21</v>
      </c>
      <c r="J437">
        <v>2588.3000000000002</v>
      </c>
      <c r="K437">
        <v>2633.2</v>
      </c>
      <c r="L437">
        <v>2667.7</v>
      </c>
      <c r="M437">
        <v>2676.1</v>
      </c>
      <c r="N437">
        <v>2701.3</v>
      </c>
      <c r="O437">
        <v>2717.8</v>
      </c>
      <c r="P437">
        <v>2734.3</v>
      </c>
      <c r="Q437">
        <v>2758.8249999999998</v>
      </c>
      <c r="R437">
        <v>2767</v>
      </c>
      <c r="S437">
        <v>2783.15</v>
      </c>
      <c r="T437">
        <v>2799.3</v>
      </c>
      <c r="U437">
        <v>2831.62</v>
      </c>
      <c r="V437">
        <v>2839.7</v>
      </c>
      <c r="W437">
        <v>2863.88</v>
      </c>
      <c r="X437">
        <v>2880</v>
      </c>
      <c r="Y437">
        <v>2896.2</v>
      </c>
      <c r="Z437">
        <v>2920.5</v>
      </c>
      <c r="AA437">
        <v>2928.6</v>
      </c>
      <c r="AB437">
        <v>2961</v>
      </c>
      <c r="AC437">
        <v>3002.05</v>
      </c>
      <c r="AD437">
        <v>3043.1</v>
      </c>
      <c r="AE437">
        <v>3084.85</v>
      </c>
      <c r="AF437">
        <v>3126.6</v>
      </c>
      <c r="AG437">
        <v>3169.05</v>
      </c>
      <c r="AH437">
        <v>3211.5</v>
      </c>
      <c r="AI437">
        <v>3254.8</v>
      </c>
      <c r="AJ437">
        <v>3298.1</v>
      </c>
      <c r="AK437">
        <v>3342.25</v>
      </c>
      <c r="AL437">
        <v>3386.4</v>
      </c>
    </row>
    <row r="438" spans="1:38" x14ac:dyDescent="0.3">
      <c r="A438">
        <v>725</v>
      </c>
      <c r="B438">
        <v>166.38</v>
      </c>
      <c r="C438" t="s">
        <v>19</v>
      </c>
      <c r="D438">
        <v>703.26099999999997</v>
      </c>
      <c r="E438">
        <v>2763.4</v>
      </c>
      <c r="F438" t="s">
        <v>21</v>
      </c>
      <c r="G438" t="s">
        <v>21</v>
      </c>
      <c r="H438" t="s">
        <v>21</v>
      </c>
      <c r="I438" t="s">
        <v>21</v>
      </c>
      <c r="J438">
        <v>2784.4</v>
      </c>
      <c r="K438">
        <v>2842.8</v>
      </c>
      <c r="L438">
        <v>2887.7</v>
      </c>
      <c r="M438">
        <v>2898.6499999999996</v>
      </c>
      <c r="N438">
        <v>2931.5</v>
      </c>
      <c r="O438">
        <v>2953.05</v>
      </c>
      <c r="P438">
        <v>2974.6</v>
      </c>
      <c r="Q438">
        <v>3006.4</v>
      </c>
      <c r="R438">
        <v>3017</v>
      </c>
      <c r="S438">
        <v>3038.05</v>
      </c>
      <c r="T438">
        <v>3059.1</v>
      </c>
      <c r="U438">
        <v>3101.02</v>
      </c>
      <c r="V438">
        <v>3111.5</v>
      </c>
      <c r="W438">
        <v>3142.88</v>
      </c>
      <c r="X438">
        <v>3163.8</v>
      </c>
      <c r="Y438">
        <v>3184.78</v>
      </c>
      <c r="Z438">
        <v>3216.25</v>
      </c>
      <c r="AA438">
        <v>3226.74</v>
      </c>
      <c r="AB438">
        <v>3268.7</v>
      </c>
      <c r="AC438">
        <v>3321.5</v>
      </c>
      <c r="AD438">
        <v>3374.3</v>
      </c>
      <c r="AE438">
        <v>3427.8</v>
      </c>
      <c r="AF438">
        <v>3481.3</v>
      </c>
      <c r="AG438">
        <v>3535.5</v>
      </c>
      <c r="AH438">
        <v>3589.7</v>
      </c>
      <c r="AI438">
        <v>3644.7</v>
      </c>
      <c r="AJ438">
        <v>3699.7</v>
      </c>
      <c r="AK438">
        <v>3755.45</v>
      </c>
      <c r="AL438">
        <v>3811.2</v>
      </c>
    </row>
    <row r="439" spans="1:38" x14ac:dyDescent="0.3">
      <c r="A439">
        <v>725</v>
      </c>
      <c r="B439">
        <v>166.38</v>
      </c>
      <c r="C439" t="s">
        <v>20</v>
      </c>
      <c r="D439">
        <v>2.0059</v>
      </c>
      <c r="E439">
        <v>6.6932</v>
      </c>
      <c r="F439" t="s">
        <v>21</v>
      </c>
      <c r="G439" t="s">
        <v>21</v>
      </c>
      <c r="H439" t="s">
        <v>21</v>
      </c>
      <c r="I439" t="s">
        <v>21</v>
      </c>
      <c r="J439">
        <v>6.7404000000000002</v>
      </c>
      <c r="K439">
        <v>6.8673000000000002</v>
      </c>
      <c r="L439">
        <v>6.9603999999999999</v>
      </c>
      <c r="M439">
        <v>6.9821499999999999</v>
      </c>
      <c r="N439">
        <v>7.0473999999999997</v>
      </c>
      <c r="O439">
        <v>7.0884999999999998</v>
      </c>
      <c r="P439">
        <v>7.1295999999999999</v>
      </c>
      <c r="Q439">
        <v>7.18825</v>
      </c>
      <c r="R439">
        <v>7.2077999999999998</v>
      </c>
      <c r="S439">
        <v>7.2452500000000004</v>
      </c>
      <c r="T439">
        <v>7.2827000000000002</v>
      </c>
      <c r="U439">
        <v>7.3542199999999998</v>
      </c>
      <c r="V439">
        <v>7.3720999999999997</v>
      </c>
      <c r="W439">
        <v>7.4235199999999999</v>
      </c>
      <c r="X439">
        <v>7.4577999999999998</v>
      </c>
      <c r="Y439">
        <v>7.4901599999999995</v>
      </c>
      <c r="Z439">
        <v>7.5386999999999995</v>
      </c>
      <c r="AA439">
        <v>7.5548799999999998</v>
      </c>
      <c r="AB439">
        <v>7.6196000000000002</v>
      </c>
      <c r="AC439">
        <v>7.6952999999999996</v>
      </c>
      <c r="AD439">
        <v>7.7709999999999999</v>
      </c>
      <c r="AE439">
        <v>7.8424999999999994</v>
      </c>
      <c r="AF439">
        <v>7.9139999999999997</v>
      </c>
      <c r="AG439">
        <v>7.9819499999999994</v>
      </c>
      <c r="AH439">
        <v>8.0498999999999992</v>
      </c>
      <c r="AI439">
        <v>8.1147500000000008</v>
      </c>
      <c r="AJ439">
        <v>8.1796000000000006</v>
      </c>
      <c r="AK439">
        <v>8.2417000000000016</v>
      </c>
      <c r="AL439">
        <v>8.3038000000000007</v>
      </c>
    </row>
    <row r="440" spans="1:38" x14ac:dyDescent="0.3">
      <c r="A440">
        <v>750</v>
      </c>
      <c r="B440">
        <v>167.76</v>
      </c>
      <c r="C440" t="s">
        <v>0</v>
      </c>
      <c r="D440">
        <v>1.1120000000000001</v>
      </c>
      <c r="E440">
        <v>255.43</v>
      </c>
      <c r="F440" t="s">
        <v>21</v>
      </c>
      <c r="G440" t="s">
        <v>21</v>
      </c>
      <c r="H440" t="s">
        <v>21</v>
      </c>
      <c r="I440" t="s">
        <v>21</v>
      </c>
      <c r="J440">
        <v>260.88</v>
      </c>
      <c r="K440">
        <v>279.05</v>
      </c>
      <c r="L440">
        <v>293.02999999999997</v>
      </c>
      <c r="M440">
        <v>296.43499999999995</v>
      </c>
      <c r="N440">
        <v>306.64999999999998</v>
      </c>
      <c r="O440">
        <v>313.33</v>
      </c>
      <c r="P440">
        <v>320.01</v>
      </c>
      <c r="Q440">
        <v>329.88</v>
      </c>
      <c r="R440">
        <v>333.17</v>
      </c>
      <c r="S440">
        <v>339.68</v>
      </c>
      <c r="T440">
        <v>346.19</v>
      </c>
      <c r="U440">
        <v>359.09399999999999</v>
      </c>
      <c r="V440">
        <v>362.32</v>
      </c>
      <c r="W440">
        <v>371.91399999999999</v>
      </c>
      <c r="X440">
        <v>378.31</v>
      </c>
      <c r="Y440">
        <v>384.67400000000004</v>
      </c>
      <c r="Z440">
        <v>394.22</v>
      </c>
      <c r="AA440">
        <v>397.38600000000002</v>
      </c>
      <c r="AB440">
        <v>410.05</v>
      </c>
      <c r="AC440">
        <v>425.8</v>
      </c>
      <c r="AD440">
        <v>441.55</v>
      </c>
      <c r="AE440">
        <v>457.22500000000002</v>
      </c>
      <c r="AF440">
        <v>472.9</v>
      </c>
      <c r="AG440">
        <v>488.52499999999998</v>
      </c>
      <c r="AH440">
        <v>504.15</v>
      </c>
      <c r="AI440">
        <v>519.72499999999991</v>
      </c>
      <c r="AJ440">
        <v>535.29999999999995</v>
      </c>
      <c r="AK440">
        <v>550.84999999999991</v>
      </c>
      <c r="AL440">
        <v>566.4</v>
      </c>
    </row>
    <row r="441" spans="1:38" x14ac:dyDescent="0.3">
      <c r="A441">
        <v>750</v>
      </c>
      <c r="B441">
        <v>167.76</v>
      </c>
      <c r="C441" t="s">
        <v>18</v>
      </c>
      <c r="D441">
        <v>708.46699999999998</v>
      </c>
      <c r="E441">
        <v>2573.3000000000002</v>
      </c>
      <c r="F441" t="s">
        <v>21</v>
      </c>
      <c r="G441" t="s">
        <v>21</v>
      </c>
      <c r="H441" t="s">
        <v>21</v>
      </c>
      <c r="I441" t="s">
        <v>21</v>
      </c>
      <c r="J441">
        <v>2586.9</v>
      </c>
      <c r="K441">
        <v>2632.1</v>
      </c>
      <c r="L441">
        <v>2666.8</v>
      </c>
      <c r="M441">
        <v>2675.25</v>
      </c>
      <c r="N441">
        <v>2700.6</v>
      </c>
      <c r="O441">
        <v>2717.1499999999996</v>
      </c>
      <c r="P441">
        <v>2733.7</v>
      </c>
      <c r="Q441">
        <v>2758.2249999999999</v>
      </c>
      <c r="R441">
        <v>2766.4</v>
      </c>
      <c r="S441">
        <v>2782.65</v>
      </c>
      <c r="T441">
        <v>2798.9</v>
      </c>
      <c r="U441">
        <v>2831.2200000000003</v>
      </c>
      <c r="V441">
        <v>2839.3</v>
      </c>
      <c r="W441">
        <v>2863.48</v>
      </c>
      <c r="X441">
        <v>2879.6</v>
      </c>
      <c r="Y441">
        <v>2895.7999999999997</v>
      </c>
      <c r="Z441">
        <v>2920.1</v>
      </c>
      <c r="AA441">
        <v>2928.22</v>
      </c>
      <c r="AB441">
        <v>2960.7</v>
      </c>
      <c r="AC441">
        <v>3001.8</v>
      </c>
      <c r="AD441">
        <v>3042.9</v>
      </c>
      <c r="AE441">
        <v>3084.6000000000004</v>
      </c>
      <c r="AF441">
        <v>3126.3</v>
      </c>
      <c r="AG441">
        <v>3168.8500000000004</v>
      </c>
      <c r="AH441">
        <v>3211.4</v>
      </c>
      <c r="AI441">
        <v>3254.7</v>
      </c>
      <c r="AJ441">
        <v>3298</v>
      </c>
      <c r="AK441">
        <v>3342.1</v>
      </c>
      <c r="AL441">
        <v>3386.2</v>
      </c>
    </row>
    <row r="442" spans="1:38" x14ac:dyDescent="0.3">
      <c r="A442">
        <v>750</v>
      </c>
      <c r="B442">
        <v>167.76</v>
      </c>
      <c r="C442" t="s">
        <v>19</v>
      </c>
      <c r="D442">
        <v>709.30100000000004</v>
      </c>
      <c r="E442">
        <v>2764.8</v>
      </c>
      <c r="F442" t="s">
        <v>21</v>
      </c>
      <c r="G442" t="s">
        <v>21</v>
      </c>
      <c r="H442" t="s">
        <v>21</v>
      </c>
      <c r="I442" t="s">
        <v>21</v>
      </c>
      <c r="J442">
        <v>2782.5</v>
      </c>
      <c r="K442">
        <v>2841.4</v>
      </c>
      <c r="L442">
        <v>2886.6</v>
      </c>
      <c r="M442">
        <v>2897.6</v>
      </c>
      <c r="N442">
        <v>2930.6</v>
      </c>
      <c r="O442">
        <v>2952.1499999999996</v>
      </c>
      <c r="P442">
        <v>2973.7</v>
      </c>
      <c r="Q442">
        <v>3005.65</v>
      </c>
      <c r="R442">
        <v>3016.3</v>
      </c>
      <c r="S442">
        <v>3037.4</v>
      </c>
      <c r="T442">
        <v>3058.5</v>
      </c>
      <c r="U442">
        <v>3100.5</v>
      </c>
      <c r="V442">
        <v>3111</v>
      </c>
      <c r="W442">
        <v>3142.44</v>
      </c>
      <c r="X442">
        <v>3163.4</v>
      </c>
      <c r="Y442">
        <v>3184.32</v>
      </c>
      <c r="Z442">
        <v>3215.7</v>
      </c>
      <c r="AA442">
        <v>3226.22</v>
      </c>
      <c r="AB442">
        <v>3268.3</v>
      </c>
      <c r="AC442">
        <v>3321.15</v>
      </c>
      <c r="AD442">
        <v>3374</v>
      </c>
      <c r="AE442">
        <v>3427.5</v>
      </c>
      <c r="AF442">
        <v>3481</v>
      </c>
      <c r="AG442">
        <v>3535.25</v>
      </c>
      <c r="AH442">
        <v>3589.5</v>
      </c>
      <c r="AI442">
        <v>3644.5</v>
      </c>
      <c r="AJ442">
        <v>3699.5</v>
      </c>
      <c r="AK442">
        <v>3755.25</v>
      </c>
      <c r="AL442">
        <v>3811</v>
      </c>
    </row>
    <row r="443" spans="1:38" x14ac:dyDescent="0.3">
      <c r="A443">
        <v>750</v>
      </c>
      <c r="B443">
        <v>167.76</v>
      </c>
      <c r="C443" t="s">
        <v>20</v>
      </c>
      <c r="D443">
        <v>2.0194999999999999</v>
      </c>
      <c r="E443">
        <v>6.6817000000000002</v>
      </c>
      <c r="F443" t="s">
        <v>21</v>
      </c>
      <c r="G443" t="s">
        <v>21</v>
      </c>
      <c r="H443" t="s">
        <v>21</v>
      </c>
      <c r="I443" t="s">
        <v>21</v>
      </c>
      <c r="J443">
        <v>6.7214999999999998</v>
      </c>
      <c r="K443">
        <v>6.8494000000000002</v>
      </c>
      <c r="L443">
        <v>6.9428999999999998</v>
      </c>
      <c r="M443">
        <v>6.9647500000000004</v>
      </c>
      <c r="N443">
        <v>7.0303000000000004</v>
      </c>
      <c r="O443">
        <v>7.0715500000000002</v>
      </c>
      <c r="P443">
        <v>7.1128</v>
      </c>
      <c r="Q443">
        <v>7.1715999999999998</v>
      </c>
      <c r="R443">
        <v>7.1912000000000003</v>
      </c>
      <c r="S443">
        <v>7.2286999999999999</v>
      </c>
      <c r="T443">
        <v>7.2662000000000004</v>
      </c>
      <c r="U443">
        <v>7.3378800000000002</v>
      </c>
      <c r="V443">
        <v>7.3558000000000003</v>
      </c>
      <c r="W443">
        <v>7.4072800000000001</v>
      </c>
      <c r="X443">
        <v>7.4416000000000002</v>
      </c>
      <c r="Y443">
        <v>7.4745600000000003</v>
      </c>
      <c r="Z443">
        <v>7.524</v>
      </c>
      <c r="AA443">
        <v>7.5399000000000003</v>
      </c>
      <c r="AB443">
        <v>7.6035000000000004</v>
      </c>
      <c r="AC443">
        <v>7.6792499999999997</v>
      </c>
      <c r="AD443">
        <v>7.7549999999999999</v>
      </c>
      <c r="AE443">
        <v>7.8265500000000001</v>
      </c>
      <c r="AF443">
        <v>7.8981000000000003</v>
      </c>
      <c r="AG443">
        <v>7.966050000000001</v>
      </c>
      <c r="AH443">
        <v>8.0340000000000007</v>
      </c>
      <c r="AI443">
        <v>8.0988500000000005</v>
      </c>
      <c r="AJ443">
        <v>8.1637000000000004</v>
      </c>
      <c r="AK443">
        <v>8.2258499999999994</v>
      </c>
      <c r="AL443">
        <v>8.2880000000000003</v>
      </c>
    </row>
    <row r="444" spans="1:38" x14ac:dyDescent="0.3">
      <c r="A444">
        <v>775</v>
      </c>
      <c r="B444">
        <v>169.1</v>
      </c>
      <c r="C444" t="s">
        <v>0</v>
      </c>
      <c r="D444">
        <v>1.113</v>
      </c>
      <c r="E444">
        <v>247.61</v>
      </c>
      <c r="F444" t="s">
        <v>21</v>
      </c>
      <c r="G444" t="s">
        <v>21</v>
      </c>
      <c r="H444" t="s">
        <v>21</v>
      </c>
      <c r="I444" t="s">
        <v>21</v>
      </c>
      <c r="J444">
        <v>251.93</v>
      </c>
      <c r="K444">
        <v>269.63</v>
      </c>
      <c r="L444">
        <v>283.22000000000003</v>
      </c>
      <c r="M444">
        <v>286.52750000000003</v>
      </c>
      <c r="N444">
        <v>296.45</v>
      </c>
      <c r="O444">
        <v>302.93</v>
      </c>
      <c r="P444">
        <v>309.41000000000003</v>
      </c>
      <c r="Q444">
        <v>318.995</v>
      </c>
      <c r="R444">
        <v>322.19</v>
      </c>
      <c r="S444">
        <v>328.5</v>
      </c>
      <c r="T444">
        <v>334.81</v>
      </c>
      <c r="U444">
        <v>347.31400000000002</v>
      </c>
      <c r="V444">
        <v>350.44</v>
      </c>
      <c r="W444">
        <v>359.74</v>
      </c>
      <c r="X444">
        <v>365.94</v>
      </c>
      <c r="Y444">
        <v>372.10399999999998</v>
      </c>
      <c r="Z444">
        <v>381.35</v>
      </c>
      <c r="AA444">
        <v>384.41800000000001</v>
      </c>
      <c r="AB444">
        <v>396.69</v>
      </c>
      <c r="AC444">
        <v>411.94499999999999</v>
      </c>
      <c r="AD444">
        <v>427.2</v>
      </c>
      <c r="AE444">
        <v>442.38</v>
      </c>
      <c r="AF444">
        <v>457.56</v>
      </c>
      <c r="AG444">
        <v>472.685</v>
      </c>
      <c r="AH444">
        <v>487.81</v>
      </c>
      <c r="AI444">
        <v>502.89</v>
      </c>
      <c r="AJ444">
        <v>517.97</v>
      </c>
      <c r="AK444">
        <v>533.02</v>
      </c>
      <c r="AL444">
        <v>548.07000000000005</v>
      </c>
    </row>
    <row r="445" spans="1:38" x14ac:dyDescent="0.3">
      <c r="A445">
        <v>775</v>
      </c>
      <c r="B445">
        <v>169.1</v>
      </c>
      <c r="C445" t="s">
        <v>18</v>
      </c>
      <c r="D445">
        <v>714.32600000000002</v>
      </c>
      <c r="E445">
        <v>2574.3000000000002</v>
      </c>
      <c r="F445" t="s">
        <v>21</v>
      </c>
      <c r="G445" t="s">
        <v>21</v>
      </c>
      <c r="H445" t="s">
        <v>21</v>
      </c>
      <c r="I445" t="s">
        <v>21</v>
      </c>
      <c r="J445">
        <v>2585.4</v>
      </c>
      <c r="K445">
        <v>2631</v>
      </c>
      <c r="L445">
        <v>2665.9</v>
      </c>
      <c r="M445">
        <v>2674.375</v>
      </c>
      <c r="N445">
        <v>2699.8</v>
      </c>
      <c r="O445">
        <v>2716.45</v>
      </c>
      <c r="P445">
        <v>2733.1</v>
      </c>
      <c r="Q445">
        <v>2757.7</v>
      </c>
      <c r="R445">
        <v>2765.9</v>
      </c>
      <c r="S445">
        <v>2782.15</v>
      </c>
      <c r="T445">
        <v>2798.4</v>
      </c>
      <c r="U445">
        <v>2830.8</v>
      </c>
      <c r="V445">
        <v>2838.9</v>
      </c>
      <c r="W445">
        <v>2863.1400000000003</v>
      </c>
      <c r="X445">
        <v>2879.3</v>
      </c>
      <c r="Y445">
        <v>2895.5</v>
      </c>
      <c r="Z445">
        <v>2919.8</v>
      </c>
      <c r="AA445">
        <v>2927.92</v>
      </c>
      <c r="AB445">
        <v>2960.4</v>
      </c>
      <c r="AC445">
        <v>3001.5</v>
      </c>
      <c r="AD445">
        <v>3042.6</v>
      </c>
      <c r="AE445">
        <v>3084.35</v>
      </c>
      <c r="AF445">
        <v>3126.1</v>
      </c>
      <c r="AG445">
        <v>3168.6499999999996</v>
      </c>
      <c r="AH445">
        <v>3211.2</v>
      </c>
      <c r="AI445">
        <v>3254.5</v>
      </c>
      <c r="AJ445">
        <v>3297.8</v>
      </c>
      <c r="AK445">
        <v>3341.95</v>
      </c>
      <c r="AL445">
        <v>3386.1</v>
      </c>
    </row>
    <row r="446" spans="1:38" x14ac:dyDescent="0.3">
      <c r="A446">
        <v>775</v>
      </c>
      <c r="B446">
        <v>169.1</v>
      </c>
      <c r="C446" t="s">
        <v>19</v>
      </c>
      <c r="D446">
        <v>715.18899999999996</v>
      </c>
      <c r="E446">
        <v>2766.2</v>
      </c>
      <c r="F446" t="s">
        <v>21</v>
      </c>
      <c r="G446" t="s">
        <v>21</v>
      </c>
      <c r="H446" t="s">
        <v>21</v>
      </c>
      <c r="I446" t="s">
        <v>21</v>
      </c>
      <c r="J446">
        <v>2780.7</v>
      </c>
      <c r="K446">
        <v>2840</v>
      </c>
      <c r="L446">
        <v>2885.4</v>
      </c>
      <c r="M446">
        <v>2896.45</v>
      </c>
      <c r="N446">
        <v>2929.6</v>
      </c>
      <c r="O446">
        <v>2951.25</v>
      </c>
      <c r="P446">
        <v>2972.9</v>
      </c>
      <c r="Q446">
        <v>3004.9250000000002</v>
      </c>
      <c r="R446">
        <v>3015.6</v>
      </c>
      <c r="S446">
        <v>3036.75</v>
      </c>
      <c r="T446">
        <v>3057.9</v>
      </c>
      <c r="U446">
        <v>3099.98</v>
      </c>
      <c r="V446">
        <v>3110.5</v>
      </c>
      <c r="W446">
        <v>3141.94</v>
      </c>
      <c r="X446">
        <v>3162.9</v>
      </c>
      <c r="Y446">
        <v>3183.86</v>
      </c>
      <c r="Z446">
        <v>3215.3</v>
      </c>
      <c r="AA446">
        <v>3225.82</v>
      </c>
      <c r="AB446">
        <v>3267.9</v>
      </c>
      <c r="AC446">
        <v>3320.7999999999997</v>
      </c>
      <c r="AD446">
        <v>3373.7</v>
      </c>
      <c r="AE446">
        <v>3427.25</v>
      </c>
      <c r="AF446">
        <v>3480.8</v>
      </c>
      <c r="AG446">
        <v>3535</v>
      </c>
      <c r="AH446">
        <v>3589.2</v>
      </c>
      <c r="AI446">
        <v>3644.25</v>
      </c>
      <c r="AJ446">
        <v>3699.3</v>
      </c>
      <c r="AK446">
        <v>3755.1</v>
      </c>
      <c r="AL446">
        <v>3810.9</v>
      </c>
    </row>
    <row r="447" spans="1:38" x14ac:dyDescent="0.3">
      <c r="A447">
        <v>775</v>
      </c>
      <c r="B447">
        <v>169.1</v>
      </c>
      <c r="C447" t="s">
        <v>20</v>
      </c>
      <c r="D447">
        <v>2.0327999999999999</v>
      </c>
      <c r="E447">
        <v>6.6704999999999997</v>
      </c>
      <c r="F447" t="s">
        <v>21</v>
      </c>
      <c r="G447" t="s">
        <v>21</v>
      </c>
      <c r="H447" t="s">
        <v>21</v>
      </c>
      <c r="I447" t="s">
        <v>21</v>
      </c>
      <c r="J447">
        <v>6.7031000000000001</v>
      </c>
      <c r="K447">
        <v>6.8319000000000001</v>
      </c>
      <c r="L447">
        <v>6.9259000000000004</v>
      </c>
      <c r="M447">
        <v>6.9478500000000007</v>
      </c>
      <c r="N447">
        <v>7.0137</v>
      </c>
      <c r="O447">
        <v>7.0550999999999995</v>
      </c>
      <c r="P447">
        <v>7.0964999999999998</v>
      </c>
      <c r="Q447">
        <v>7.1554500000000001</v>
      </c>
      <c r="R447">
        <v>7.1750999999999996</v>
      </c>
      <c r="S447">
        <v>7.21265</v>
      </c>
      <c r="T447">
        <v>7.2502000000000004</v>
      </c>
      <c r="U447">
        <v>7.3220400000000003</v>
      </c>
      <c r="V447">
        <v>7.34</v>
      </c>
      <c r="W447">
        <v>7.39154</v>
      </c>
      <c r="X447">
        <v>7.4259000000000004</v>
      </c>
      <c r="Y447">
        <v>7.4588999999999999</v>
      </c>
      <c r="Z447">
        <v>7.5084</v>
      </c>
      <c r="AA447">
        <v>7.5243200000000003</v>
      </c>
      <c r="AB447">
        <v>7.5880000000000001</v>
      </c>
      <c r="AC447">
        <v>7.6638000000000002</v>
      </c>
      <c r="AD447">
        <v>7.7396000000000003</v>
      </c>
      <c r="AE447">
        <v>7.8111499999999996</v>
      </c>
      <c r="AF447">
        <v>7.8826999999999998</v>
      </c>
      <c r="AG447">
        <v>7.9507000000000003</v>
      </c>
      <c r="AH447">
        <v>8.0187000000000008</v>
      </c>
      <c r="AI447">
        <v>8.0835500000000007</v>
      </c>
      <c r="AJ447">
        <v>8.1484000000000005</v>
      </c>
      <c r="AK447">
        <v>8.2105499999999996</v>
      </c>
      <c r="AL447">
        <v>8.2727000000000004</v>
      </c>
    </row>
    <row r="448" spans="1:38" x14ac:dyDescent="0.3">
      <c r="A448">
        <v>800</v>
      </c>
      <c r="B448">
        <v>170.41</v>
      </c>
      <c r="C448" t="s">
        <v>0</v>
      </c>
      <c r="D448">
        <v>1.115</v>
      </c>
      <c r="E448">
        <v>240.26</v>
      </c>
      <c r="F448" t="s">
        <v>21</v>
      </c>
      <c r="G448" t="s">
        <v>21</v>
      </c>
      <c r="H448" t="s">
        <v>21</v>
      </c>
      <c r="I448" t="s">
        <v>21</v>
      </c>
      <c r="J448">
        <v>243.53</v>
      </c>
      <c r="K448">
        <v>260.79000000000002</v>
      </c>
      <c r="L448">
        <v>274.02</v>
      </c>
      <c r="M448">
        <v>277.23500000000001</v>
      </c>
      <c r="N448">
        <v>286.88</v>
      </c>
      <c r="O448">
        <v>293.18</v>
      </c>
      <c r="P448">
        <v>299.48</v>
      </c>
      <c r="Q448">
        <v>308.78750000000002</v>
      </c>
      <c r="R448">
        <v>311.89</v>
      </c>
      <c r="S448">
        <v>318.01499999999999</v>
      </c>
      <c r="T448">
        <v>324.14</v>
      </c>
      <c r="U448">
        <v>336.27600000000001</v>
      </c>
      <c r="V448">
        <v>339.31</v>
      </c>
      <c r="W448">
        <v>348.32799999999997</v>
      </c>
      <c r="X448">
        <v>354.34</v>
      </c>
      <c r="Y448">
        <v>360.32</v>
      </c>
      <c r="Z448">
        <v>369.29</v>
      </c>
      <c r="AA448">
        <v>372.26400000000001</v>
      </c>
      <c r="AB448">
        <v>384.16</v>
      </c>
      <c r="AC448">
        <v>398.95000000000005</v>
      </c>
      <c r="AD448">
        <v>413.74</v>
      </c>
      <c r="AE448">
        <v>428.45500000000004</v>
      </c>
      <c r="AF448">
        <v>443.17</v>
      </c>
      <c r="AG448">
        <v>457.83</v>
      </c>
      <c r="AH448">
        <v>472.49</v>
      </c>
      <c r="AI448">
        <v>487.10500000000002</v>
      </c>
      <c r="AJ448">
        <v>501.72</v>
      </c>
      <c r="AK448">
        <v>516.30499999999995</v>
      </c>
      <c r="AL448">
        <v>530.89</v>
      </c>
    </row>
    <row r="449" spans="1:38" x14ac:dyDescent="0.3">
      <c r="A449">
        <v>800</v>
      </c>
      <c r="B449">
        <v>170.41</v>
      </c>
      <c r="C449" t="s">
        <v>18</v>
      </c>
      <c r="D449">
        <v>720.04300000000001</v>
      </c>
      <c r="E449">
        <v>2575.3000000000002</v>
      </c>
      <c r="F449" t="s">
        <v>21</v>
      </c>
      <c r="G449" t="s">
        <v>21</v>
      </c>
      <c r="H449" t="s">
        <v>21</v>
      </c>
      <c r="I449" t="s">
        <v>21</v>
      </c>
      <c r="J449">
        <v>2584</v>
      </c>
      <c r="K449">
        <v>2629.9</v>
      </c>
      <c r="L449">
        <v>2665</v>
      </c>
      <c r="M449">
        <v>2673.5250000000001</v>
      </c>
      <c r="N449">
        <v>2699.1</v>
      </c>
      <c r="O449">
        <v>2715.8</v>
      </c>
      <c r="P449">
        <v>2732.5</v>
      </c>
      <c r="Q449">
        <v>2757.1750000000002</v>
      </c>
      <c r="R449">
        <v>2765.4</v>
      </c>
      <c r="S449">
        <v>2781.65</v>
      </c>
      <c r="T449">
        <v>2797.9</v>
      </c>
      <c r="U449">
        <v>2830.38</v>
      </c>
      <c r="V449">
        <v>2838.5</v>
      </c>
      <c r="W449">
        <v>2862.7400000000002</v>
      </c>
      <c r="X449">
        <v>2878.9</v>
      </c>
      <c r="Y449">
        <v>2895.14</v>
      </c>
      <c r="Z449">
        <v>2919.5</v>
      </c>
      <c r="AA449">
        <v>2927.64</v>
      </c>
      <c r="AB449">
        <v>2960.2</v>
      </c>
      <c r="AC449">
        <v>3001.3</v>
      </c>
      <c r="AD449">
        <v>3042.4</v>
      </c>
      <c r="AE449">
        <v>3084.15</v>
      </c>
      <c r="AF449">
        <v>3125.9</v>
      </c>
      <c r="AG449">
        <v>3168.45</v>
      </c>
      <c r="AH449">
        <v>3211</v>
      </c>
      <c r="AI449">
        <v>3254.35</v>
      </c>
      <c r="AJ449">
        <v>3297.7</v>
      </c>
      <c r="AK449">
        <v>3341.85</v>
      </c>
      <c r="AL449">
        <v>3386</v>
      </c>
    </row>
    <row r="450" spans="1:38" x14ac:dyDescent="0.3">
      <c r="A450">
        <v>800</v>
      </c>
      <c r="B450">
        <v>170.41</v>
      </c>
      <c r="C450" t="s">
        <v>19</v>
      </c>
      <c r="D450">
        <v>720.93499999999995</v>
      </c>
      <c r="E450">
        <v>2767.5</v>
      </c>
      <c r="F450" t="s">
        <v>21</v>
      </c>
      <c r="G450" t="s">
        <v>21</v>
      </c>
      <c r="H450" t="s">
        <v>21</v>
      </c>
      <c r="I450" t="s">
        <v>21</v>
      </c>
      <c r="J450">
        <v>2778.8</v>
      </c>
      <c r="K450">
        <v>2838.6</v>
      </c>
      <c r="L450">
        <v>2884.2</v>
      </c>
      <c r="M450">
        <v>2895.2999999999997</v>
      </c>
      <c r="N450">
        <v>2928.6</v>
      </c>
      <c r="O450">
        <v>2950.35</v>
      </c>
      <c r="P450">
        <v>2972.1</v>
      </c>
      <c r="Q450">
        <v>3004.2</v>
      </c>
      <c r="R450">
        <v>3014.9</v>
      </c>
      <c r="S450">
        <v>3036.1000000000004</v>
      </c>
      <c r="T450">
        <v>3057.3</v>
      </c>
      <c r="U450">
        <v>3099.38</v>
      </c>
      <c r="V450">
        <v>3109.9</v>
      </c>
      <c r="W450">
        <v>3141.4</v>
      </c>
      <c r="X450">
        <v>3162.4</v>
      </c>
      <c r="Y450">
        <v>3183.4</v>
      </c>
      <c r="Z450">
        <v>3214.9</v>
      </c>
      <c r="AA450">
        <v>3225.42</v>
      </c>
      <c r="AB450">
        <v>3267.5</v>
      </c>
      <c r="AC450">
        <v>3320.45</v>
      </c>
      <c r="AD450">
        <v>3373.4</v>
      </c>
      <c r="AE450">
        <v>3426.95</v>
      </c>
      <c r="AF450">
        <v>3480.5</v>
      </c>
      <c r="AG450">
        <v>3534.75</v>
      </c>
      <c r="AH450">
        <v>3589</v>
      </c>
      <c r="AI450">
        <v>3644.05</v>
      </c>
      <c r="AJ450">
        <v>3699.1</v>
      </c>
      <c r="AK450">
        <v>3754.8999999999996</v>
      </c>
      <c r="AL450">
        <v>3810.7</v>
      </c>
    </row>
    <row r="451" spans="1:38" x14ac:dyDescent="0.3">
      <c r="A451">
        <v>800</v>
      </c>
      <c r="B451">
        <v>170.41</v>
      </c>
      <c r="C451" t="s">
        <v>20</v>
      </c>
      <c r="D451">
        <v>2.0457000000000001</v>
      </c>
      <c r="E451">
        <v>6.6596000000000002</v>
      </c>
      <c r="F451" t="s">
        <v>21</v>
      </c>
      <c r="G451" t="s">
        <v>21</v>
      </c>
      <c r="H451" t="s">
        <v>21</v>
      </c>
      <c r="I451" t="s">
        <v>21</v>
      </c>
      <c r="J451">
        <v>6.6851000000000003</v>
      </c>
      <c r="K451">
        <v>6.8148</v>
      </c>
      <c r="L451">
        <v>6.9093999999999998</v>
      </c>
      <c r="M451">
        <v>6.9314499999999999</v>
      </c>
      <c r="N451">
        <v>6.9976000000000003</v>
      </c>
      <c r="O451">
        <v>7.0391500000000002</v>
      </c>
      <c r="P451">
        <v>7.0807000000000002</v>
      </c>
      <c r="Q451">
        <v>7.1398000000000001</v>
      </c>
      <c r="R451">
        <v>7.1595000000000004</v>
      </c>
      <c r="S451">
        <v>7.1971500000000006</v>
      </c>
      <c r="T451">
        <v>7.2347999999999999</v>
      </c>
      <c r="U451">
        <v>7.3067200000000003</v>
      </c>
      <c r="V451">
        <v>7.3247</v>
      </c>
      <c r="W451">
        <v>7.3763000000000005</v>
      </c>
      <c r="X451">
        <v>7.4107000000000003</v>
      </c>
      <c r="Y451">
        <v>7.4436999999999998</v>
      </c>
      <c r="Z451">
        <v>7.4931999999999999</v>
      </c>
      <c r="AA451">
        <v>7.5091399999999995</v>
      </c>
      <c r="AB451">
        <v>7.5728999999999997</v>
      </c>
      <c r="AC451">
        <v>7.6487499999999997</v>
      </c>
      <c r="AD451">
        <v>7.7245999999999997</v>
      </c>
      <c r="AE451">
        <v>7.7961999999999998</v>
      </c>
      <c r="AF451">
        <v>7.8677999999999999</v>
      </c>
      <c r="AG451">
        <v>7.9358000000000004</v>
      </c>
      <c r="AH451">
        <v>8.0038</v>
      </c>
      <c r="AI451">
        <v>8.0686999999999998</v>
      </c>
      <c r="AJ451">
        <v>8.1335999999999995</v>
      </c>
      <c r="AK451">
        <v>8.1957499999999985</v>
      </c>
      <c r="AL451">
        <v>8.2578999999999994</v>
      </c>
    </row>
    <row r="452" spans="1:38" x14ac:dyDescent="0.3">
      <c r="A452">
        <v>825</v>
      </c>
      <c r="B452">
        <v>171.69</v>
      </c>
      <c r="C452" t="s">
        <v>0</v>
      </c>
      <c r="D452">
        <v>1.117</v>
      </c>
      <c r="E452">
        <v>233.34</v>
      </c>
      <c r="F452" t="s">
        <v>21</v>
      </c>
      <c r="G452" t="s">
        <v>21</v>
      </c>
      <c r="H452" t="s">
        <v>21</v>
      </c>
      <c r="I452" t="s">
        <v>21</v>
      </c>
      <c r="J452">
        <v>235.64</v>
      </c>
      <c r="K452">
        <v>252.48</v>
      </c>
      <c r="L452">
        <v>265.37</v>
      </c>
      <c r="M452">
        <v>268.5025</v>
      </c>
      <c r="N452">
        <v>277.89999999999998</v>
      </c>
      <c r="O452">
        <v>284.02499999999998</v>
      </c>
      <c r="P452">
        <v>290.14999999999998</v>
      </c>
      <c r="Q452">
        <v>299.19499999999999</v>
      </c>
      <c r="R452">
        <v>302.20999999999998</v>
      </c>
      <c r="S452">
        <v>308.16499999999996</v>
      </c>
      <c r="T452">
        <v>314.12</v>
      </c>
      <c r="U452">
        <v>325.904</v>
      </c>
      <c r="V452">
        <v>328.85</v>
      </c>
      <c r="W452">
        <v>337.61</v>
      </c>
      <c r="X452">
        <v>343.45</v>
      </c>
      <c r="Y452">
        <v>349.25399999999996</v>
      </c>
      <c r="Z452">
        <v>357.96</v>
      </c>
      <c r="AA452">
        <v>360.846</v>
      </c>
      <c r="AB452">
        <v>372.39</v>
      </c>
      <c r="AC452">
        <v>386.745</v>
      </c>
      <c r="AD452">
        <v>401.1</v>
      </c>
      <c r="AE452">
        <v>415.375</v>
      </c>
      <c r="AF452">
        <v>429.65</v>
      </c>
      <c r="AG452">
        <v>443.875</v>
      </c>
      <c r="AH452">
        <v>458.1</v>
      </c>
      <c r="AI452">
        <v>472.28</v>
      </c>
      <c r="AJ452">
        <v>486.46</v>
      </c>
      <c r="AK452">
        <v>500.61</v>
      </c>
      <c r="AL452">
        <v>514.76</v>
      </c>
    </row>
    <row r="453" spans="1:38" x14ac:dyDescent="0.3">
      <c r="A453">
        <v>825</v>
      </c>
      <c r="B453">
        <v>171.69</v>
      </c>
      <c r="C453" t="s">
        <v>18</v>
      </c>
      <c r="D453">
        <v>725.625</v>
      </c>
      <c r="E453">
        <v>2576.1999999999998</v>
      </c>
      <c r="F453" t="s">
        <v>21</v>
      </c>
      <c r="G453" t="s">
        <v>21</v>
      </c>
      <c r="H453" t="s">
        <v>21</v>
      </c>
      <c r="I453" t="s">
        <v>21</v>
      </c>
      <c r="J453">
        <v>2582.5</v>
      </c>
      <c r="K453">
        <v>2628.8</v>
      </c>
      <c r="L453">
        <v>2664.1</v>
      </c>
      <c r="M453">
        <v>2672.6750000000002</v>
      </c>
      <c r="N453">
        <v>2698.4</v>
      </c>
      <c r="O453">
        <v>2715.1000000000004</v>
      </c>
      <c r="P453">
        <v>2731.8</v>
      </c>
      <c r="Q453">
        <v>2756.55</v>
      </c>
      <c r="R453">
        <v>2764.8</v>
      </c>
      <c r="S453">
        <v>2781.15</v>
      </c>
      <c r="T453">
        <v>2797.5</v>
      </c>
      <c r="U453">
        <v>2829.98</v>
      </c>
      <c r="V453">
        <v>2838.1</v>
      </c>
      <c r="W453">
        <v>2862.4</v>
      </c>
      <c r="X453">
        <v>2878.6</v>
      </c>
      <c r="Y453">
        <v>2894.7999999999997</v>
      </c>
      <c r="Z453">
        <v>2919.1</v>
      </c>
      <c r="AA453">
        <v>2927.2599999999998</v>
      </c>
      <c r="AB453">
        <v>2959.9</v>
      </c>
      <c r="AC453">
        <v>3001.05</v>
      </c>
      <c r="AD453">
        <v>3042.2</v>
      </c>
      <c r="AE453">
        <v>3083.95</v>
      </c>
      <c r="AF453">
        <v>3125.7</v>
      </c>
      <c r="AG453">
        <v>3168.25</v>
      </c>
      <c r="AH453">
        <v>3210.8</v>
      </c>
      <c r="AI453">
        <v>3254.15</v>
      </c>
      <c r="AJ453">
        <v>3297.5</v>
      </c>
      <c r="AK453">
        <v>3341.65</v>
      </c>
      <c r="AL453">
        <v>3385.8</v>
      </c>
    </row>
    <row r="454" spans="1:38" x14ac:dyDescent="0.3">
      <c r="A454">
        <v>825</v>
      </c>
      <c r="B454">
        <v>171.69</v>
      </c>
      <c r="C454" t="s">
        <v>19</v>
      </c>
      <c r="D454">
        <v>726.54700000000003</v>
      </c>
      <c r="E454">
        <v>2768.7</v>
      </c>
      <c r="F454" t="s">
        <v>21</v>
      </c>
      <c r="G454" t="s">
        <v>21</v>
      </c>
      <c r="H454" t="s">
        <v>21</v>
      </c>
      <c r="I454" t="s">
        <v>21</v>
      </c>
      <c r="J454">
        <v>2776.9</v>
      </c>
      <c r="K454">
        <v>2837.1</v>
      </c>
      <c r="L454">
        <v>2883.1</v>
      </c>
      <c r="M454">
        <v>2894.2249999999999</v>
      </c>
      <c r="N454">
        <v>2927.6</v>
      </c>
      <c r="O454">
        <v>2949.3999999999996</v>
      </c>
      <c r="P454">
        <v>2971.2</v>
      </c>
      <c r="Q454">
        <v>3003.375</v>
      </c>
      <c r="R454">
        <v>3014.1</v>
      </c>
      <c r="S454">
        <v>3035.35</v>
      </c>
      <c r="T454">
        <v>3056.6</v>
      </c>
      <c r="U454">
        <v>3098.84</v>
      </c>
      <c r="V454">
        <v>3109.4</v>
      </c>
      <c r="W454">
        <v>3140.9</v>
      </c>
      <c r="X454">
        <v>3161.9</v>
      </c>
      <c r="Y454">
        <v>3182.94</v>
      </c>
      <c r="Z454">
        <v>3214.5</v>
      </c>
      <c r="AA454">
        <v>3225.02</v>
      </c>
      <c r="AB454">
        <v>3267.1</v>
      </c>
      <c r="AC454">
        <v>3320.1</v>
      </c>
      <c r="AD454">
        <v>3373.1</v>
      </c>
      <c r="AE454">
        <v>3426.6499999999996</v>
      </c>
      <c r="AF454">
        <v>3480.2</v>
      </c>
      <c r="AG454">
        <v>3534.5</v>
      </c>
      <c r="AH454">
        <v>3588.8</v>
      </c>
      <c r="AI454">
        <v>3643.8</v>
      </c>
      <c r="AJ454">
        <v>3698.8</v>
      </c>
      <c r="AK454">
        <v>3754.65</v>
      </c>
      <c r="AL454">
        <v>3810.5</v>
      </c>
    </row>
    <row r="455" spans="1:38" x14ac:dyDescent="0.3">
      <c r="A455">
        <v>825</v>
      </c>
      <c r="B455">
        <v>171.69</v>
      </c>
      <c r="C455" t="s">
        <v>20</v>
      </c>
      <c r="D455">
        <v>2.0583</v>
      </c>
      <c r="E455">
        <v>6.6490999999999998</v>
      </c>
      <c r="F455" t="s">
        <v>21</v>
      </c>
      <c r="G455" t="s">
        <v>21</v>
      </c>
      <c r="H455" t="s">
        <v>21</v>
      </c>
      <c r="I455" t="s">
        <v>21</v>
      </c>
      <c r="J455">
        <v>6.6675000000000004</v>
      </c>
      <c r="K455">
        <v>6.7981999999999996</v>
      </c>
      <c r="L455">
        <v>6.8933</v>
      </c>
      <c r="M455">
        <v>6.9154499999999999</v>
      </c>
      <c r="N455">
        <v>6.9819000000000004</v>
      </c>
      <c r="O455">
        <v>7.0236000000000001</v>
      </c>
      <c r="P455">
        <v>7.0652999999999997</v>
      </c>
      <c r="Q455">
        <v>7.1245500000000002</v>
      </c>
      <c r="R455">
        <v>7.1443000000000003</v>
      </c>
      <c r="S455">
        <v>7.1820000000000004</v>
      </c>
      <c r="T455">
        <v>7.2196999999999996</v>
      </c>
      <c r="U455">
        <v>7.2917800000000002</v>
      </c>
      <c r="V455">
        <v>7.3098000000000001</v>
      </c>
      <c r="W455">
        <v>7.3614600000000001</v>
      </c>
      <c r="X455">
        <v>7.3959000000000001</v>
      </c>
      <c r="Y455">
        <v>7.4289800000000001</v>
      </c>
      <c r="Z455">
        <v>7.4786000000000001</v>
      </c>
      <c r="AA455">
        <v>7.4945399999999998</v>
      </c>
      <c r="AB455">
        <v>7.5583</v>
      </c>
      <c r="AC455">
        <v>7.6341999999999999</v>
      </c>
      <c r="AD455">
        <v>7.7100999999999997</v>
      </c>
      <c r="AE455">
        <v>7.7816999999999998</v>
      </c>
      <c r="AF455">
        <v>7.8532999999999999</v>
      </c>
      <c r="AG455">
        <v>7.9213500000000003</v>
      </c>
      <c r="AH455">
        <v>7.9893999999999998</v>
      </c>
      <c r="AI455">
        <v>8.0542999999999996</v>
      </c>
      <c r="AJ455">
        <v>8.1191999999999993</v>
      </c>
      <c r="AK455">
        <v>8.1814</v>
      </c>
      <c r="AL455">
        <v>8.2436000000000007</v>
      </c>
    </row>
    <row r="456" spans="1:38" x14ac:dyDescent="0.3">
      <c r="A456">
        <v>850</v>
      </c>
      <c r="B456">
        <v>172.94</v>
      </c>
      <c r="C456" t="s">
        <v>0</v>
      </c>
      <c r="D456">
        <v>1.1180000000000001</v>
      </c>
      <c r="E456">
        <v>226.81</v>
      </c>
      <c r="F456" t="s">
        <v>21</v>
      </c>
      <c r="G456" t="s">
        <v>21</v>
      </c>
      <c r="H456" t="s">
        <v>21</v>
      </c>
      <c r="I456" t="s">
        <v>21</v>
      </c>
      <c r="J456">
        <v>228.21</v>
      </c>
      <c r="K456">
        <v>244.66</v>
      </c>
      <c r="L456">
        <v>257.24</v>
      </c>
      <c r="M456">
        <v>260.29000000000002</v>
      </c>
      <c r="N456">
        <v>269.44</v>
      </c>
      <c r="O456">
        <v>275.40499999999997</v>
      </c>
      <c r="P456">
        <v>281.37</v>
      </c>
      <c r="Q456">
        <v>290.16750000000002</v>
      </c>
      <c r="R456">
        <v>293.10000000000002</v>
      </c>
      <c r="S456">
        <v>298.89</v>
      </c>
      <c r="T456">
        <v>304.68</v>
      </c>
      <c r="U456">
        <v>316.13600000000002</v>
      </c>
      <c r="V456">
        <v>319</v>
      </c>
      <c r="W456">
        <v>327.52</v>
      </c>
      <c r="X456">
        <v>333.2</v>
      </c>
      <c r="Y456">
        <v>338.83600000000001</v>
      </c>
      <c r="Z456">
        <v>347.29</v>
      </c>
      <c r="AA456">
        <v>350.09399999999999</v>
      </c>
      <c r="AB456">
        <v>361.31</v>
      </c>
      <c r="AC456">
        <v>375.255</v>
      </c>
      <c r="AD456">
        <v>389.2</v>
      </c>
      <c r="AE456">
        <v>403.065</v>
      </c>
      <c r="AF456">
        <v>416.93</v>
      </c>
      <c r="AG456">
        <v>430.745</v>
      </c>
      <c r="AH456">
        <v>444.56</v>
      </c>
      <c r="AI456">
        <v>458.32499999999999</v>
      </c>
      <c r="AJ456">
        <v>472.09</v>
      </c>
      <c r="AK456">
        <v>485.83</v>
      </c>
      <c r="AL456">
        <v>499.57</v>
      </c>
    </row>
    <row r="457" spans="1:38" x14ac:dyDescent="0.3">
      <c r="A457">
        <v>850</v>
      </c>
      <c r="B457">
        <v>172.94</v>
      </c>
      <c r="C457" t="s">
        <v>18</v>
      </c>
      <c r="D457">
        <v>731.08</v>
      </c>
      <c r="E457">
        <v>2577.1</v>
      </c>
      <c r="F457" t="s">
        <v>21</v>
      </c>
      <c r="G457" t="s">
        <v>21</v>
      </c>
      <c r="H457" t="s">
        <v>21</v>
      </c>
      <c r="I457" t="s">
        <v>21</v>
      </c>
      <c r="J457">
        <v>2581.1</v>
      </c>
      <c r="K457">
        <v>2627.7</v>
      </c>
      <c r="L457">
        <v>2663.2</v>
      </c>
      <c r="M457">
        <v>2671.7999999999997</v>
      </c>
      <c r="N457">
        <v>2697.6</v>
      </c>
      <c r="O457">
        <v>2714.3999999999996</v>
      </c>
      <c r="P457">
        <v>2731.2</v>
      </c>
      <c r="Q457">
        <v>2756.0250000000001</v>
      </c>
      <c r="R457">
        <v>2764.3</v>
      </c>
      <c r="S457">
        <v>2780.65</v>
      </c>
      <c r="T457">
        <v>2797</v>
      </c>
      <c r="U457">
        <v>2829.56</v>
      </c>
      <c r="V457">
        <v>2837.7</v>
      </c>
      <c r="W457">
        <v>2862</v>
      </c>
      <c r="X457">
        <v>2878.2</v>
      </c>
      <c r="Y457">
        <v>2894.44</v>
      </c>
      <c r="Z457">
        <v>2918.8</v>
      </c>
      <c r="AA457">
        <v>2926.96</v>
      </c>
      <c r="AB457">
        <v>2959.6</v>
      </c>
      <c r="AC457">
        <v>3000.75</v>
      </c>
      <c r="AD457">
        <v>3041.9</v>
      </c>
      <c r="AE457">
        <v>3083.7</v>
      </c>
      <c r="AF457">
        <v>3125.5</v>
      </c>
      <c r="AG457">
        <v>3168.1</v>
      </c>
      <c r="AH457">
        <v>3210.7</v>
      </c>
      <c r="AI457">
        <v>3254.05</v>
      </c>
      <c r="AJ457">
        <v>3297.4</v>
      </c>
      <c r="AK457">
        <v>3341.55</v>
      </c>
      <c r="AL457">
        <v>3385.7</v>
      </c>
    </row>
    <row r="458" spans="1:38" x14ac:dyDescent="0.3">
      <c r="A458">
        <v>850</v>
      </c>
      <c r="B458">
        <v>172.94</v>
      </c>
      <c r="C458" t="s">
        <v>19</v>
      </c>
      <c r="D458">
        <v>732.03099999999995</v>
      </c>
      <c r="E458">
        <v>2769.9</v>
      </c>
      <c r="F458" t="s">
        <v>21</v>
      </c>
      <c r="G458" t="s">
        <v>21</v>
      </c>
      <c r="H458" t="s">
        <v>21</v>
      </c>
      <c r="I458" t="s">
        <v>21</v>
      </c>
      <c r="J458">
        <v>2775.1</v>
      </c>
      <c r="K458">
        <v>2835.7</v>
      </c>
      <c r="L458">
        <v>2881.9</v>
      </c>
      <c r="M458">
        <v>2893.0749999999998</v>
      </c>
      <c r="N458">
        <v>2926.6</v>
      </c>
      <c r="O458">
        <v>2948.5</v>
      </c>
      <c r="P458">
        <v>2970.4</v>
      </c>
      <c r="Q458">
        <v>3002.65</v>
      </c>
      <c r="R458">
        <v>3013.4</v>
      </c>
      <c r="S458">
        <v>3034.7</v>
      </c>
      <c r="T458">
        <v>3056</v>
      </c>
      <c r="U458">
        <v>3098.2400000000002</v>
      </c>
      <c r="V458">
        <v>3108.8</v>
      </c>
      <c r="W458">
        <v>3140.36</v>
      </c>
      <c r="X458">
        <v>3161.4</v>
      </c>
      <c r="Y458">
        <v>3182.44</v>
      </c>
      <c r="Z458">
        <v>3214</v>
      </c>
      <c r="AA458">
        <v>3224.54</v>
      </c>
      <c r="AB458">
        <v>3266.7</v>
      </c>
      <c r="AC458">
        <v>3319.7</v>
      </c>
      <c r="AD458">
        <v>3372.7</v>
      </c>
      <c r="AE458">
        <v>3426.3</v>
      </c>
      <c r="AF458">
        <v>3479.9</v>
      </c>
      <c r="AG458">
        <v>3534.2000000000003</v>
      </c>
      <c r="AH458">
        <v>3588.5</v>
      </c>
      <c r="AI458">
        <v>3643.55</v>
      </c>
      <c r="AJ458">
        <v>3698.6</v>
      </c>
      <c r="AK458">
        <v>3754.45</v>
      </c>
      <c r="AL458">
        <v>3810.3</v>
      </c>
    </row>
    <row r="459" spans="1:38" x14ac:dyDescent="0.3">
      <c r="A459">
        <v>850</v>
      </c>
      <c r="B459">
        <v>172.94</v>
      </c>
      <c r="C459" t="s">
        <v>20</v>
      </c>
      <c r="D459">
        <v>2.0705</v>
      </c>
      <c r="E459">
        <v>6.6387999999999998</v>
      </c>
      <c r="F459" t="s">
        <v>21</v>
      </c>
      <c r="G459" t="s">
        <v>21</v>
      </c>
      <c r="H459" t="s">
        <v>21</v>
      </c>
      <c r="I459" t="s">
        <v>21</v>
      </c>
      <c r="J459">
        <v>6.6504000000000003</v>
      </c>
      <c r="K459">
        <v>6.782</v>
      </c>
      <c r="L459">
        <v>6.8776999999999999</v>
      </c>
      <c r="M459">
        <v>6.8999249999999996</v>
      </c>
      <c r="N459">
        <v>6.9665999999999997</v>
      </c>
      <c r="O459">
        <v>7.0084499999999998</v>
      </c>
      <c r="P459">
        <v>7.0503</v>
      </c>
      <c r="Q459">
        <v>7.1097000000000001</v>
      </c>
      <c r="R459">
        <v>7.1295000000000002</v>
      </c>
      <c r="S459">
        <v>7.1673</v>
      </c>
      <c r="T459">
        <v>7.2050999999999998</v>
      </c>
      <c r="U459">
        <v>7.2773399999999997</v>
      </c>
      <c r="V459">
        <v>7.2953999999999999</v>
      </c>
      <c r="W459">
        <v>7.3470599999999999</v>
      </c>
      <c r="X459">
        <v>7.3815</v>
      </c>
      <c r="Y459">
        <v>7.4146200000000002</v>
      </c>
      <c r="Z459">
        <v>7.4642999999999997</v>
      </c>
      <c r="AA459">
        <v>7.4802599999999995</v>
      </c>
      <c r="AB459">
        <v>7.5441000000000003</v>
      </c>
      <c r="AC459">
        <v>7.62005</v>
      </c>
      <c r="AD459">
        <v>7.6959999999999997</v>
      </c>
      <c r="AE459">
        <v>7.7676499999999997</v>
      </c>
      <c r="AF459">
        <v>7.8392999999999997</v>
      </c>
      <c r="AG459">
        <v>7.9073499999999992</v>
      </c>
      <c r="AH459">
        <v>7.9753999999999996</v>
      </c>
      <c r="AI459">
        <v>8.0403500000000001</v>
      </c>
      <c r="AJ459">
        <v>8.1052999999999997</v>
      </c>
      <c r="AK459">
        <v>8.1674499999999988</v>
      </c>
      <c r="AL459">
        <v>8.2295999999999996</v>
      </c>
    </row>
    <row r="460" spans="1:38" x14ac:dyDescent="0.3">
      <c r="A460">
        <v>875</v>
      </c>
      <c r="B460">
        <v>174.16</v>
      </c>
      <c r="C460" t="s">
        <v>0</v>
      </c>
      <c r="D460">
        <v>1.1200000000000001</v>
      </c>
      <c r="E460">
        <v>220.65</v>
      </c>
      <c r="F460" t="s">
        <v>21</v>
      </c>
      <c r="G460" t="s">
        <v>21</v>
      </c>
      <c r="H460" t="s">
        <v>21</v>
      </c>
      <c r="I460" t="s">
        <v>21</v>
      </c>
      <c r="J460">
        <v>221.2</v>
      </c>
      <c r="K460">
        <v>237.29</v>
      </c>
      <c r="L460">
        <v>249.56</v>
      </c>
      <c r="M460">
        <v>252.535</v>
      </c>
      <c r="N460">
        <v>261.45999999999998</v>
      </c>
      <c r="O460">
        <v>267.27499999999998</v>
      </c>
      <c r="P460">
        <v>273.08999999999997</v>
      </c>
      <c r="Q460">
        <v>281.65499999999997</v>
      </c>
      <c r="R460">
        <v>284.51</v>
      </c>
      <c r="S460">
        <v>290.14999999999998</v>
      </c>
      <c r="T460">
        <v>295.79000000000002</v>
      </c>
      <c r="U460">
        <v>306.93400000000003</v>
      </c>
      <c r="V460">
        <v>309.72000000000003</v>
      </c>
      <c r="W460">
        <v>318.00599999999997</v>
      </c>
      <c r="X460">
        <v>323.52999999999997</v>
      </c>
      <c r="Y460">
        <v>329.01400000000001</v>
      </c>
      <c r="Z460">
        <v>337.24</v>
      </c>
      <c r="AA460">
        <v>339.96600000000001</v>
      </c>
      <c r="AB460">
        <v>350.87</v>
      </c>
      <c r="AC460">
        <v>364.42500000000001</v>
      </c>
      <c r="AD460">
        <v>377.98</v>
      </c>
      <c r="AE460">
        <v>391.46000000000004</v>
      </c>
      <c r="AF460">
        <v>404.94</v>
      </c>
      <c r="AG460">
        <v>418.36500000000001</v>
      </c>
      <c r="AH460">
        <v>431.79</v>
      </c>
      <c r="AI460">
        <v>445.17</v>
      </c>
      <c r="AJ460">
        <v>458.55</v>
      </c>
      <c r="AK460">
        <v>471.9</v>
      </c>
      <c r="AL460">
        <v>485.25</v>
      </c>
    </row>
    <row r="461" spans="1:38" x14ac:dyDescent="0.3">
      <c r="A461">
        <v>875</v>
      </c>
      <c r="B461">
        <v>174.16</v>
      </c>
      <c r="C461" t="s">
        <v>18</v>
      </c>
      <c r="D461">
        <v>736.41499999999996</v>
      </c>
      <c r="E461">
        <v>2578</v>
      </c>
      <c r="F461" t="s">
        <v>21</v>
      </c>
      <c r="G461" t="s">
        <v>21</v>
      </c>
      <c r="H461" t="s">
        <v>21</v>
      </c>
      <c r="I461" t="s">
        <v>21</v>
      </c>
      <c r="J461">
        <v>2579.6</v>
      </c>
      <c r="K461">
        <v>2626.6</v>
      </c>
      <c r="L461">
        <v>2662.3</v>
      </c>
      <c r="M461">
        <v>2670.9250000000002</v>
      </c>
      <c r="N461">
        <v>2696.8</v>
      </c>
      <c r="O461">
        <v>2713.7</v>
      </c>
      <c r="P461">
        <v>2730.6</v>
      </c>
      <c r="Q461">
        <v>2755.4249999999997</v>
      </c>
      <c r="R461">
        <v>2763.7</v>
      </c>
      <c r="S461">
        <v>2780.1</v>
      </c>
      <c r="T461">
        <v>2796.5</v>
      </c>
      <c r="U461">
        <v>2829.1400000000003</v>
      </c>
      <c r="V461">
        <v>2837.3</v>
      </c>
      <c r="W461">
        <v>2861.6600000000003</v>
      </c>
      <c r="X461">
        <v>2877.9</v>
      </c>
      <c r="Y461">
        <v>2894.14</v>
      </c>
      <c r="Z461">
        <v>2918.5</v>
      </c>
      <c r="AA461">
        <v>2926.66</v>
      </c>
      <c r="AB461">
        <v>2959.3</v>
      </c>
      <c r="AC461">
        <v>3000.5</v>
      </c>
      <c r="AD461">
        <v>3041.7</v>
      </c>
      <c r="AE461">
        <v>3083.5</v>
      </c>
      <c r="AF461">
        <v>3125.3</v>
      </c>
      <c r="AG461">
        <v>3167.9</v>
      </c>
      <c r="AH461">
        <v>3210.5</v>
      </c>
      <c r="AI461">
        <v>3253.85</v>
      </c>
      <c r="AJ461">
        <v>3297.2</v>
      </c>
      <c r="AK461">
        <v>3341.3999999999996</v>
      </c>
      <c r="AL461">
        <v>3385.6</v>
      </c>
    </row>
    <row r="462" spans="1:38" x14ac:dyDescent="0.3">
      <c r="A462">
        <v>875</v>
      </c>
      <c r="B462">
        <v>174.16</v>
      </c>
      <c r="C462" t="s">
        <v>19</v>
      </c>
      <c r="D462">
        <v>737.39400000000001</v>
      </c>
      <c r="E462">
        <v>2771</v>
      </c>
      <c r="F462" t="s">
        <v>21</v>
      </c>
      <c r="G462" t="s">
        <v>21</v>
      </c>
      <c r="H462" t="s">
        <v>21</v>
      </c>
      <c r="I462" t="s">
        <v>21</v>
      </c>
      <c r="J462">
        <v>2773.1</v>
      </c>
      <c r="K462">
        <v>2834.2</v>
      </c>
      <c r="L462">
        <v>2880.7</v>
      </c>
      <c r="M462">
        <v>2891.9249999999997</v>
      </c>
      <c r="N462">
        <v>2925.6</v>
      </c>
      <c r="O462">
        <v>2947.55</v>
      </c>
      <c r="P462">
        <v>2969.5</v>
      </c>
      <c r="Q462">
        <v>3001.8999999999996</v>
      </c>
      <c r="R462">
        <v>3012.7</v>
      </c>
      <c r="S462">
        <v>3034</v>
      </c>
      <c r="T462">
        <v>3055.3</v>
      </c>
      <c r="U462">
        <v>3097.7000000000003</v>
      </c>
      <c r="V462">
        <v>3108.3</v>
      </c>
      <c r="W462">
        <v>3139.92</v>
      </c>
      <c r="X462">
        <v>3161</v>
      </c>
      <c r="Y462">
        <v>3182.04</v>
      </c>
      <c r="Z462">
        <v>3213.6</v>
      </c>
      <c r="AA462">
        <v>3224.14</v>
      </c>
      <c r="AB462">
        <v>3266.3</v>
      </c>
      <c r="AC462">
        <v>3319.3500000000004</v>
      </c>
      <c r="AD462">
        <v>3372.4</v>
      </c>
      <c r="AE462">
        <v>3426.05</v>
      </c>
      <c r="AF462">
        <v>3479.7</v>
      </c>
      <c r="AG462">
        <v>3534</v>
      </c>
      <c r="AH462">
        <v>3588.3</v>
      </c>
      <c r="AI462">
        <v>3643.3500000000004</v>
      </c>
      <c r="AJ462">
        <v>3698.4</v>
      </c>
      <c r="AK462">
        <v>3754.3</v>
      </c>
      <c r="AL462">
        <v>3810.2</v>
      </c>
    </row>
    <row r="463" spans="1:38" x14ac:dyDescent="0.3">
      <c r="A463">
        <v>875</v>
      </c>
      <c r="B463">
        <v>174.16</v>
      </c>
      <c r="C463" t="s">
        <v>20</v>
      </c>
      <c r="D463">
        <v>2.0825</v>
      </c>
      <c r="E463">
        <v>6.6288999999999998</v>
      </c>
      <c r="F463" t="s">
        <v>21</v>
      </c>
      <c r="G463" t="s">
        <v>21</v>
      </c>
      <c r="H463" t="s">
        <v>21</v>
      </c>
      <c r="I463" t="s">
        <v>21</v>
      </c>
      <c r="J463">
        <v>6.6336000000000004</v>
      </c>
      <c r="K463">
        <v>6.7662000000000004</v>
      </c>
      <c r="L463">
        <v>6.8624000000000001</v>
      </c>
      <c r="M463">
        <v>6.8847500000000004</v>
      </c>
      <c r="N463">
        <v>6.9518000000000004</v>
      </c>
      <c r="O463">
        <v>6.9937500000000004</v>
      </c>
      <c r="P463">
        <v>7.0357000000000003</v>
      </c>
      <c r="Q463">
        <v>7.0953249999999999</v>
      </c>
      <c r="R463">
        <v>7.1151999999999997</v>
      </c>
      <c r="S463">
        <v>7.1530500000000004</v>
      </c>
      <c r="T463">
        <v>7.1909000000000001</v>
      </c>
      <c r="U463">
        <v>7.2632199999999996</v>
      </c>
      <c r="V463">
        <v>7.2812999999999999</v>
      </c>
      <c r="W463">
        <v>7.3330799999999998</v>
      </c>
      <c r="X463">
        <v>7.3676000000000004</v>
      </c>
      <c r="Y463">
        <v>7.4007200000000006</v>
      </c>
      <c r="Z463">
        <v>7.4504000000000001</v>
      </c>
      <c r="AA463">
        <v>7.46638</v>
      </c>
      <c r="AB463">
        <v>7.5303000000000004</v>
      </c>
      <c r="AC463">
        <v>7.6063000000000001</v>
      </c>
      <c r="AD463">
        <v>7.6822999999999997</v>
      </c>
      <c r="AE463">
        <v>7.7539999999999996</v>
      </c>
      <c r="AF463">
        <v>7.8257000000000003</v>
      </c>
      <c r="AG463">
        <v>7.8937500000000007</v>
      </c>
      <c r="AH463">
        <v>7.9618000000000002</v>
      </c>
      <c r="AI463">
        <v>8.0267499999999998</v>
      </c>
      <c r="AJ463">
        <v>8.0916999999999994</v>
      </c>
      <c r="AK463">
        <v>8.1539000000000001</v>
      </c>
      <c r="AL463">
        <v>8.2161000000000008</v>
      </c>
    </row>
    <row r="464" spans="1:38" x14ac:dyDescent="0.3">
      <c r="A464">
        <v>900</v>
      </c>
      <c r="B464">
        <v>175.36</v>
      </c>
      <c r="C464" t="s">
        <v>0</v>
      </c>
      <c r="D464">
        <v>1.121</v>
      </c>
      <c r="E464">
        <v>214.81</v>
      </c>
      <c r="F464" t="s">
        <v>21</v>
      </c>
      <c r="G464" t="s">
        <v>21</v>
      </c>
      <c r="H464" t="s">
        <v>21</v>
      </c>
      <c r="I464" t="s">
        <v>21</v>
      </c>
      <c r="J464" t="s">
        <v>21</v>
      </c>
      <c r="K464">
        <v>230.32</v>
      </c>
      <c r="L464">
        <v>242.31</v>
      </c>
      <c r="M464">
        <v>245.215</v>
      </c>
      <c r="N464">
        <v>253.93</v>
      </c>
      <c r="O464">
        <v>259.60000000000002</v>
      </c>
      <c r="P464">
        <v>265.27</v>
      </c>
      <c r="Q464">
        <v>273.61749999999995</v>
      </c>
      <c r="R464">
        <v>276.39999999999998</v>
      </c>
      <c r="S464">
        <v>281.89499999999998</v>
      </c>
      <c r="T464">
        <v>287.39</v>
      </c>
      <c r="U464">
        <v>298.24599999999998</v>
      </c>
      <c r="V464">
        <v>300.95999999999998</v>
      </c>
      <c r="W464">
        <v>309.024</v>
      </c>
      <c r="X464">
        <v>314.39999999999998</v>
      </c>
      <c r="Y464">
        <v>319.73599999999999</v>
      </c>
      <c r="Z464">
        <v>327.74</v>
      </c>
      <c r="AA464">
        <v>330.39400000000001</v>
      </c>
      <c r="AB464">
        <v>341.01</v>
      </c>
      <c r="AC464">
        <v>354.2</v>
      </c>
      <c r="AD464">
        <v>367.39</v>
      </c>
      <c r="AE464">
        <v>380.5</v>
      </c>
      <c r="AF464">
        <v>393.61</v>
      </c>
      <c r="AG464">
        <v>406.67</v>
      </c>
      <c r="AH464">
        <v>419.73</v>
      </c>
      <c r="AI464">
        <v>432.745</v>
      </c>
      <c r="AJ464">
        <v>445.76</v>
      </c>
      <c r="AK464">
        <v>458.74</v>
      </c>
      <c r="AL464">
        <v>471.72</v>
      </c>
    </row>
    <row r="465" spans="1:38" x14ac:dyDescent="0.3">
      <c r="A465">
        <v>900</v>
      </c>
      <c r="B465">
        <v>175.36</v>
      </c>
      <c r="C465" t="s">
        <v>18</v>
      </c>
      <c r="D465">
        <v>741.63499999999999</v>
      </c>
      <c r="E465">
        <v>2578.8000000000002</v>
      </c>
      <c r="F465" t="s">
        <v>21</v>
      </c>
      <c r="G465" t="s">
        <v>21</v>
      </c>
      <c r="H465" t="s">
        <v>21</v>
      </c>
      <c r="I465" t="s">
        <v>21</v>
      </c>
      <c r="J465" t="s">
        <v>21</v>
      </c>
      <c r="K465">
        <v>2625.5</v>
      </c>
      <c r="L465">
        <v>2661.4</v>
      </c>
      <c r="M465">
        <v>2670.0749999999998</v>
      </c>
      <c r="N465">
        <v>2696.1</v>
      </c>
      <c r="O465">
        <v>2713</v>
      </c>
      <c r="P465">
        <v>2729.9</v>
      </c>
      <c r="Q465">
        <v>2754.875</v>
      </c>
      <c r="R465">
        <v>2763.2</v>
      </c>
      <c r="S465">
        <v>2779.6499999999996</v>
      </c>
      <c r="T465">
        <v>2796.1</v>
      </c>
      <c r="U465">
        <v>2828.7400000000002</v>
      </c>
      <c r="V465">
        <v>2836.9</v>
      </c>
      <c r="W465">
        <v>2861.26</v>
      </c>
      <c r="X465">
        <v>2877.5</v>
      </c>
      <c r="Y465">
        <v>2893.7799999999997</v>
      </c>
      <c r="Z465">
        <v>2918.2</v>
      </c>
      <c r="AA465">
        <v>2926.3599999999997</v>
      </c>
      <c r="AB465">
        <v>2959</v>
      </c>
      <c r="AC465">
        <v>3000.2</v>
      </c>
      <c r="AD465">
        <v>3041.4</v>
      </c>
      <c r="AE465">
        <v>3083.25</v>
      </c>
      <c r="AF465">
        <v>3125.1</v>
      </c>
      <c r="AG465">
        <v>3167.7</v>
      </c>
      <c r="AH465">
        <v>3210.3</v>
      </c>
      <c r="AI465">
        <v>3253.7</v>
      </c>
      <c r="AJ465">
        <v>3297.1</v>
      </c>
      <c r="AK465">
        <v>3341.25</v>
      </c>
      <c r="AL465">
        <v>3385.4</v>
      </c>
    </row>
    <row r="466" spans="1:38" x14ac:dyDescent="0.3">
      <c r="A466">
        <v>900</v>
      </c>
      <c r="B466">
        <v>175.36</v>
      </c>
      <c r="C466" t="s">
        <v>19</v>
      </c>
      <c r="D466">
        <v>742.64400000000001</v>
      </c>
      <c r="E466">
        <v>2772.1</v>
      </c>
      <c r="F466" t="s">
        <v>21</v>
      </c>
      <c r="G466" t="s">
        <v>21</v>
      </c>
      <c r="H466" t="s">
        <v>21</v>
      </c>
      <c r="I466" t="s">
        <v>21</v>
      </c>
      <c r="J466" t="s">
        <v>24</v>
      </c>
      <c r="K466">
        <v>2832.7</v>
      </c>
      <c r="L466">
        <v>2879.5</v>
      </c>
      <c r="M466">
        <v>2890.7750000000001</v>
      </c>
      <c r="N466">
        <v>2924.6</v>
      </c>
      <c r="O466">
        <v>2946.6499999999996</v>
      </c>
      <c r="P466">
        <v>2968.7</v>
      </c>
      <c r="Q466">
        <v>3001.1750000000002</v>
      </c>
      <c r="R466">
        <v>3012</v>
      </c>
      <c r="S466">
        <v>3033.35</v>
      </c>
      <c r="T466">
        <v>3054.7</v>
      </c>
      <c r="U466">
        <v>3097.1</v>
      </c>
      <c r="V466">
        <v>3107.7</v>
      </c>
      <c r="W466">
        <v>3139.38</v>
      </c>
      <c r="X466">
        <v>3160.5</v>
      </c>
      <c r="Y466">
        <v>3181.58</v>
      </c>
      <c r="Z466">
        <v>3213.2</v>
      </c>
      <c r="AA466">
        <v>3223.7599999999998</v>
      </c>
      <c r="AB466">
        <v>3266</v>
      </c>
      <c r="AC466">
        <v>3319.05</v>
      </c>
      <c r="AD466">
        <v>3372.1</v>
      </c>
      <c r="AE466">
        <v>3425.75</v>
      </c>
      <c r="AF466">
        <v>3479.4</v>
      </c>
      <c r="AG466">
        <v>3533.75</v>
      </c>
      <c r="AH466">
        <v>3588.1</v>
      </c>
      <c r="AI466">
        <v>3643.1499999999996</v>
      </c>
      <c r="AJ466">
        <v>3698.2</v>
      </c>
      <c r="AK466">
        <v>3754.1</v>
      </c>
      <c r="AL466">
        <v>3810</v>
      </c>
    </row>
    <row r="467" spans="1:38" x14ac:dyDescent="0.3">
      <c r="A467">
        <v>900</v>
      </c>
      <c r="B467">
        <v>175.36</v>
      </c>
      <c r="C467" t="s">
        <v>20</v>
      </c>
      <c r="D467">
        <v>2.0941000000000001</v>
      </c>
      <c r="E467">
        <v>6.6192000000000002</v>
      </c>
      <c r="F467" t="s">
        <v>21</v>
      </c>
      <c r="G467" t="s">
        <v>21</v>
      </c>
      <c r="H467" t="s">
        <v>21</v>
      </c>
      <c r="I467" t="s">
        <v>21</v>
      </c>
      <c r="J467" t="s">
        <v>21</v>
      </c>
      <c r="K467">
        <v>6.7507999999999999</v>
      </c>
      <c r="L467">
        <v>6.8475000000000001</v>
      </c>
      <c r="M467">
        <v>6.8699500000000002</v>
      </c>
      <c r="N467">
        <v>6.9372999999999996</v>
      </c>
      <c r="O467">
        <v>6.9794</v>
      </c>
      <c r="P467">
        <v>7.0214999999999996</v>
      </c>
      <c r="Q467">
        <v>7.0812750000000007</v>
      </c>
      <c r="R467">
        <v>7.1012000000000004</v>
      </c>
      <c r="S467">
        <v>7.1391500000000008</v>
      </c>
      <c r="T467">
        <v>7.1771000000000003</v>
      </c>
      <c r="U467">
        <v>7.2495000000000003</v>
      </c>
      <c r="V467">
        <v>7.2675999999999998</v>
      </c>
      <c r="W467">
        <v>7.3194400000000002</v>
      </c>
      <c r="X467">
        <v>7.3540000000000001</v>
      </c>
      <c r="Y467">
        <v>7.3872</v>
      </c>
      <c r="Z467">
        <v>7.4370000000000003</v>
      </c>
      <c r="AA467">
        <v>7.4529800000000002</v>
      </c>
      <c r="AB467">
        <v>7.5168999999999997</v>
      </c>
      <c r="AC467">
        <v>7.5929000000000002</v>
      </c>
      <c r="AD467">
        <v>7.6688999999999998</v>
      </c>
      <c r="AE467">
        <v>7.7406500000000005</v>
      </c>
      <c r="AF467">
        <v>7.8124000000000002</v>
      </c>
      <c r="AG467">
        <v>7.8804999999999996</v>
      </c>
      <c r="AH467">
        <v>7.9485999999999999</v>
      </c>
      <c r="AI467">
        <v>8.0135500000000004</v>
      </c>
      <c r="AJ467">
        <v>8.0785</v>
      </c>
      <c r="AK467">
        <v>8.1407500000000006</v>
      </c>
      <c r="AL467">
        <v>8.2029999999999994</v>
      </c>
    </row>
    <row r="468" spans="1:38" x14ac:dyDescent="0.3">
      <c r="A468">
        <v>925</v>
      </c>
      <c r="B468">
        <v>176.53</v>
      </c>
      <c r="C468" t="s">
        <v>0</v>
      </c>
      <c r="D468">
        <v>1.123</v>
      </c>
      <c r="E468">
        <v>209.28</v>
      </c>
      <c r="F468" t="s">
        <v>21</v>
      </c>
      <c r="G468" t="s">
        <v>21</v>
      </c>
      <c r="H468" t="s">
        <v>21</v>
      </c>
      <c r="I468" t="s">
        <v>21</v>
      </c>
      <c r="J468" t="s">
        <v>21</v>
      </c>
      <c r="K468">
        <v>223.73</v>
      </c>
      <c r="L468">
        <v>235.46</v>
      </c>
      <c r="M468">
        <v>238.29500000000002</v>
      </c>
      <c r="N468">
        <v>246.8</v>
      </c>
      <c r="O468">
        <v>252.33500000000001</v>
      </c>
      <c r="P468">
        <v>257.87</v>
      </c>
      <c r="Q468">
        <v>266.01499999999999</v>
      </c>
      <c r="R468">
        <v>268.73</v>
      </c>
      <c r="S468">
        <v>274.08500000000004</v>
      </c>
      <c r="T468">
        <v>279.44</v>
      </c>
      <c r="U468">
        <v>290.01600000000002</v>
      </c>
      <c r="V468">
        <v>292.66000000000003</v>
      </c>
      <c r="W468">
        <v>300.52</v>
      </c>
      <c r="X468">
        <v>305.76</v>
      </c>
      <c r="Y468">
        <v>310.95600000000002</v>
      </c>
      <c r="Z468">
        <v>318.75</v>
      </c>
      <c r="AA468">
        <v>321.33600000000001</v>
      </c>
      <c r="AB468">
        <v>331.68</v>
      </c>
      <c r="AC468">
        <v>344.52</v>
      </c>
      <c r="AD468">
        <v>357.36</v>
      </c>
      <c r="AE468">
        <v>370.13</v>
      </c>
      <c r="AF468">
        <v>382.9</v>
      </c>
      <c r="AG468">
        <v>395.61</v>
      </c>
      <c r="AH468">
        <v>408.32</v>
      </c>
      <c r="AI468">
        <v>420.99</v>
      </c>
      <c r="AJ468">
        <v>433.66</v>
      </c>
      <c r="AK468">
        <v>446.29500000000002</v>
      </c>
      <c r="AL468">
        <v>458.93</v>
      </c>
    </row>
    <row r="469" spans="1:38" x14ac:dyDescent="0.3">
      <c r="A469">
        <v>925</v>
      </c>
      <c r="B469">
        <v>176.53</v>
      </c>
      <c r="C469" t="s">
        <v>18</v>
      </c>
      <c r="D469">
        <v>746.74599999999998</v>
      </c>
      <c r="E469">
        <v>2579.6</v>
      </c>
      <c r="F469" t="s">
        <v>21</v>
      </c>
      <c r="G469" t="s">
        <v>21</v>
      </c>
      <c r="H469" t="s">
        <v>21</v>
      </c>
      <c r="I469" t="s">
        <v>21</v>
      </c>
      <c r="J469" t="s">
        <v>21</v>
      </c>
      <c r="K469">
        <v>2624.3</v>
      </c>
      <c r="L469">
        <v>2660.5</v>
      </c>
      <c r="M469">
        <v>2669.2</v>
      </c>
      <c r="N469">
        <v>2695.3</v>
      </c>
      <c r="O469">
        <v>2712.3</v>
      </c>
      <c r="P469">
        <v>2729.3</v>
      </c>
      <c r="Q469">
        <v>2754.2750000000001</v>
      </c>
      <c r="R469">
        <v>2762.6</v>
      </c>
      <c r="S469">
        <v>2779.1</v>
      </c>
      <c r="T469">
        <v>2795.6</v>
      </c>
      <c r="U469">
        <v>2828.32</v>
      </c>
      <c r="V469">
        <v>2836.5</v>
      </c>
      <c r="W469">
        <v>2860.92</v>
      </c>
      <c r="X469">
        <v>2877.2</v>
      </c>
      <c r="Y469">
        <v>2893.48</v>
      </c>
      <c r="Z469">
        <v>2917.9</v>
      </c>
      <c r="AA469">
        <v>2926.08</v>
      </c>
      <c r="AB469">
        <v>2958.8</v>
      </c>
      <c r="AC469">
        <v>3000</v>
      </c>
      <c r="AD469">
        <v>3041.2</v>
      </c>
      <c r="AE469">
        <v>3083.05</v>
      </c>
      <c r="AF469">
        <v>3124.9</v>
      </c>
      <c r="AG469">
        <v>3167.5</v>
      </c>
      <c r="AH469">
        <v>3210.1</v>
      </c>
      <c r="AI469">
        <v>3253.5</v>
      </c>
      <c r="AJ469">
        <v>3296.9</v>
      </c>
      <c r="AK469">
        <v>3341.1000000000004</v>
      </c>
      <c r="AL469">
        <v>3385.3</v>
      </c>
    </row>
    <row r="470" spans="1:38" x14ac:dyDescent="0.3">
      <c r="A470">
        <v>925</v>
      </c>
      <c r="B470">
        <v>176.53</v>
      </c>
      <c r="C470" t="s">
        <v>19</v>
      </c>
      <c r="D470">
        <v>747.78399999999999</v>
      </c>
      <c r="E470">
        <v>2773.2</v>
      </c>
      <c r="F470" t="s">
        <v>21</v>
      </c>
      <c r="G470" t="s">
        <v>21</v>
      </c>
      <c r="H470" t="s">
        <v>21</v>
      </c>
      <c r="I470" t="s">
        <v>21</v>
      </c>
      <c r="J470" t="s">
        <v>21</v>
      </c>
      <c r="K470">
        <v>2831.3</v>
      </c>
      <c r="L470">
        <v>2878.3</v>
      </c>
      <c r="M470">
        <v>2889.625</v>
      </c>
      <c r="N470">
        <v>2923.6</v>
      </c>
      <c r="O470">
        <v>2945.7</v>
      </c>
      <c r="P470">
        <v>2967.8</v>
      </c>
      <c r="Q470">
        <v>3000.35</v>
      </c>
      <c r="R470">
        <v>3011.2</v>
      </c>
      <c r="S470">
        <v>3032.6499999999996</v>
      </c>
      <c r="T470">
        <v>3054.1</v>
      </c>
      <c r="U470">
        <v>3096.58</v>
      </c>
      <c r="V470">
        <v>3107.2</v>
      </c>
      <c r="W470">
        <v>3138.88</v>
      </c>
      <c r="X470">
        <v>3160</v>
      </c>
      <c r="Y470">
        <v>3181.08</v>
      </c>
      <c r="Z470">
        <v>3212.7</v>
      </c>
      <c r="AA470">
        <v>3223.2799999999997</v>
      </c>
      <c r="AB470">
        <v>3265.6</v>
      </c>
      <c r="AC470">
        <v>3318.7</v>
      </c>
      <c r="AD470">
        <v>3371.8</v>
      </c>
      <c r="AE470">
        <v>3425.45</v>
      </c>
      <c r="AF470">
        <v>3479.1</v>
      </c>
      <c r="AG470">
        <v>3533.45</v>
      </c>
      <c r="AH470">
        <v>3587.8</v>
      </c>
      <c r="AI470">
        <v>3642.9</v>
      </c>
      <c r="AJ470">
        <v>3698</v>
      </c>
      <c r="AK470">
        <v>3753.9</v>
      </c>
      <c r="AL470">
        <v>3809.8</v>
      </c>
    </row>
    <row r="471" spans="1:38" x14ac:dyDescent="0.3">
      <c r="A471">
        <v>925</v>
      </c>
      <c r="B471">
        <v>176.53</v>
      </c>
      <c r="C471" t="s">
        <v>20</v>
      </c>
      <c r="D471">
        <v>2.1055000000000001</v>
      </c>
      <c r="E471">
        <v>6.6097000000000001</v>
      </c>
      <c r="F471" t="s">
        <v>21</v>
      </c>
      <c r="G471" t="s">
        <v>21</v>
      </c>
      <c r="H471" t="s">
        <v>21</v>
      </c>
      <c r="I471" t="s">
        <v>21</v>
      </c>
      <c r="J471" t="s">
        <v>21</v>
      </c>
      <c r="K471">
        <v>6.7356999999999996</v>
      </c>
      <c r="L471">
        <v>6.8329000000000004</v>
      </c>
      <c r="M471">
        <v>6.8554500000000003</v>
      </c>
      <c r="N471">
        <v>6.9230999999999998</v>
      </c>
      <c r="O471">
        <v>6.9653499999999999</v>
      </c>
      <c r="P471">
        <v>7.0076000000000001</v>
      </c>
      <c r="Q471">
        <v>7.0675249999999998</v>
      </c>
      <c r="R471">
        <v>7.0875000000000004</v>
      </c>
      <c r="S471">
        <v>7.1255500000000005</v>
      </c>
      <c r="T471">
        <v>7.1635999999999997</v>
      </c>
      <c r="U471">
        <v>7.2361599999999999</v>
      </c>
      <c r="V471">
        <v>7.2542999999999997</v>
      </c>
      <c r="W471">
        <v>7.3061999999999996</v>
      </c>
      <c r="X471">
        <v>7.3407999999999998</v>
      </c>
      <c r="Y471">
        <v>7.3739999999999997</v>
      </c>
      <c r="Z471">
        <v>7.4238</v>
      </c>
      <c r="AA471">
        <v>7.4398</v>
      </c>
      <c r="AB471">
        <v>7.5038</v>
      </c>
      <c r="AC471">
        <v>7.5799000000000003</v>
      </c>
      <c r="AD471">
        <v>7.6559999999999997</v>
      </c>
      <c r="AE471">
        <v>7.7277500000000003</v>
      </c>
      <c r="AF471">
        <v>7.7995000000000001</v>
      </c>
      <c r="AG471">
        <v>7.8675999999999995</v>
      </c>
      <c r="AH471">
        <v>7.9356999999999998</v>
      </c>
      <c r="AI471">
        <v>8.0007000000000001</v>
      </c>
      <c r="AJ471">
        <v>8.0656999999999996</v>
      </c>
      <c r="AK471">
        <v>8.1279500000000002</v>
      </c>
      <c r="AL471">
        <v>8.1902000000000008</v>
      </c>
    </row>
    <row r="472" spans="1:38" x14ac:dyDescent="0.3">
      <c r="A472">
        <v>950</v>
      </c>
      <c r="B472">
        <v>177.67</v>
      </c>
      <c r="C472" t="s">
        <v>0</v>
      </c>
      <c r="D472">
        <v>1.1240000000000001</v>
      </c>
      <c r="E472">
        <v>204.03</v>
      </c>
      <c r="F472" t="s">
        <v>21</v>
      </c>
      <c r="G472" t="s">
        <v>21</v>
      </c>
      <c r="H472" t="s">
        <v>21</v>
      </c>
      <c r="I472" t="s">
        <v>21</v>
      </c>
      <c r="J472" t="s">
        <v>21</v>
      </c>
      <c r="K472">
        <v>217.48</v>
      </c>
      <c r="L472">
        <v>228.96</v>
      </c>
      <c r="M472">
        <v>231.73250000000002</v>
      </c>
      <c r="N472">
        <v>240.05</v>
      </c>
      <c r="O472">
        <v>245.45500000000001</v>
      </c>
      <c r="P472">
        <v>250.86</v>
      </c>
      <c r="Q472">
        <v>258.81</v>
      </c>
      <c r="R472">
        <v>261.45999999999998</v>
      </c>
      <c r="S472">
        <v>266.685</v>
      </c>
      <c r="T472">
        <v>271.91000000000003</v>
      </c>
      <c r="U472">
        <v>282.23</v>
      </c>
      <c r="V472">
        <v>284.81</v>
      </c>
      <c r="W472">
        <v>292.46600000000001</v>
      </c>
      <c r="X472">
        <v>297.57</v>
      </c>
      <c r="Y472">
        <v>302.63799999999998</v>
      </c>
      <c r="Z472">
        <v>310.24</v>
      </c>
      <c r="AA472">
        <v>312.76</v>
      </c>
      <c r="AB472">
        <v>322.83999999999997</v>
      </c>
      <c r="AC472">
        <v>335.35500000000002</v>
      </c>
      <c r="AD472">
        <v>347.87</v>
      </c>
      <c r="AE472">
        <v>360.30500000000001</v>
      </c>
      <c r="AF472">
        <v>372.74</v>
      </c>
      <c r="AG472">
        <v>385.125</v>
      </c>
      <c r="AH472">
        <v>397.51</v>
      </c>
      <c r="AI472">
        <v>409.85</v>
      </c>
      <c r="AJ472">
        <v>422.19</v>
      </c>
      <c r="AK472">
        <v>434.5</v>
      </c>
      <c r="AL472">
        <v>446.81</v>
      </c>
    </row>
    <row r="473" spans="1:38" x14ac:dyDescent="0.3">
      <c r="A473">
        <v>950</v>
      </c>
      <c r="B473">
        <v>177.67</v>
      </c>
      <c r="C473" t="s">
        <v>18</v>
      </c>
      <c r="D473">
        <v>751.75400000000002</v>
      </c>
      <c r="E473">
        <v>2580.4</v>
      </c>
      <c r="F473" t="s">
        <v>21</v>
      </c>
      <c r="G473" t="s">
        <v>21</v>
      </c>
      <c r="H473" t="s">
        <v>21</v>
      </c>
      <c r="I473" t="s">
        <v>21</v>
      </c>
      <c r="J473" t="s">
        <v>21</v>
      </c>
      <c r="K473">
        <v>2623.2</v>
      </c>
      <c r="L473">
        <v>2659.5</v>
      </c>
      <c r="M473">
        <v>2668.2750000000001</v>
      </c>
      <c r="N473">
        <v>2694.6</v>
      </c>
      <c r="O473">
        <v>2711.6499999999996</v>
      </c>
      <c r="P473">
        <v>2728.7</v>
      </c>
      <c r="Q473">
        <v>2753.75</v>
      </c>
      <c r="R473">
        <v>2762.1</v>
      </c>
      <c r="S473">
        <v>2778.6</v>
      </c>
      <c r="T473">
        <v>2795.1</v>
      </c>
      <c r="U473">
        <v>2827.82</v>
      </c>
      <c r="V473">
        <v>2836</v>
      </c>
      <c r="W473">
        <v>2860.48</v>
      </c>
      <c r="X473">
        <v>2876.8</v>
      </c>
      <c r="Y473">
        <v>2893.12</v>
      </c>
      <c r="Z473">
        <v>2917.6</v>
      </c>
      <c r="AA473">
        <v>2925.7799999999997</v>
      </c>
      <c r="AB473">
        <v>2958.5</v>
      </c>
      <c r="AC473">
        <v>2999.75</v>
      </c>
      <c r="AD473">
        <v>3041</v>
      </c>
      <c r="AE473">
        <v>3082.85</v>
      </c>
      <c r="AF473">
        <v>3124.7</v>
      </c>
      <c r="AG473">
        <v>3167.3</v>
      </c>
      <c r="AH473">
        <v>3209.9</v>
      </c>
      <c r="AI473">
        <v>3253.3</v>
      </c>
      <c r="AJ473">
        <v>3296.7</v>
      </c>
      <c r="AK473">
        <v>3340.8999999999996</v>
      </c>
      <c r="AL473">
        <v>3385.1</v>
      </c>
    </row>
    <row r="474" spans="1:38" x14ac:dyDescent="0.3">
      <c r="A474">
        <v>950</v>
      </c>
      <c r="B474">
        <v>177.67</v>
      </c>
      <c r="C474" t="s">
        <v>19</v>
      </c>
      <c r="D474">
        <v>752.822</v>
      </c>
      <c r="E474">
        <v>2774.2</v>
      </c>
      <c r="F474" t="s">
        <v>21</v>
      </c>
      <c r="G474" t="s">
        <v>21</v>
      </c>
      <c r="H474" t="s">
        <v>21</v>
      </c>
      <c r="I474" t="s">
        <v>21</v>
      </c>
      <c r="J474" t="s">
        <v>21</v>
      </c>
      <c r="K474">
        <v>2829.8</v>
      </c>
      <c r="L474">
        <v>2877</v>
      </c>
      <c r="M474">
        <v>2888.4</v>
      </c>
      <c r="N474">
        <v>2922.6</v>
      </c>
      <c r="O474">
        <v>2944.8</v>
      </c>
      <c r="P474">
        <v>2967</v>
      </c>
      <c r="Q474">
        <v>2999.625</v>
      </c>
      <c r="R474">
        <v>3010.5</v>
      </c>
      <c r="S474">
        <v>3031.95</v>
      </c>
      <c r="T474">
        <v>3053.4</v>
      </c>
      <c r="U474">
        <v>3095.96</v>
      </c>
      <c r="V474">
        <v>3106.6</v>
      </c>
      <c r="W474">
        <v>3138.34</v>
      </c>
      <c r="X474">
        <v>3159.5</v>
      </c>
      <c r="Y474">
        <v>3180.62</v>
      </c>
      <c r="Z474">
        <v>3212.3</v>
      </c>
      <c r="AA474">
        <v>3222.88</v>
      </c>
      <c r="AB474">
        <v>3265.2</v>
      </c>
      <c r="AC474">
        <v>3318.35</v>
      </c>
      <c r="AD474">
        <v>3371.5</v>
      </c>
      <c r="AE474">
        <v>3425.15</v>
      </c>
      <c r="AF474">
        <v>3478.8</v>
      </c>
      <c r="AG474">
        <v>3533.2</v>
      </c>
      <c r="AH474">
        <v>3587.6</v>
      </c>
      <c r="AI474">
        <v>3642.7</v>
      </c>
      <c r="AJ474">
        <v>3697.8</v>
      </c>
      <c r="AK474">
        <v>3753.7</v>
      </c>
      <c r="AL474">
        <v>3809.6</v>
      </c>
    </row>
    <row r="475" spans="1:38" x14ac:dyDescent="0.3">
      <c r="A475">
        <v>950</v>
      </c>
      <c r="B475">
        <v>177.67</v>
      </c>
      <c r="C475" t="s">
        <v>20</v>
      </c>
      <c r="D475">
        <v>2.1166</v>
      </c>
      <c r="E475">
        <v>6.6005000000000003</v>
      </c>
      <c r="F475" t="s">
        <v>21</v>
      </c>
      <c r="G475" t="s">
        <v>21</v>
      </c>
      <c r="H475" t="s">
        <v>21</v>
      </c>
      <c r="I475" t="s">
        <v>21</v>
      </c>
      <c r="J475" t="s">
        <v>21</v>
      </c>
      <c r="K475">
        <v>6.7209000000000003</v>
      </c>
      <c r="L475">
        <v>6.8186999999999998</v>
      </c>
      <c r="M475">
        <v>6.8413500000000003</v>
      </c>
      <c r="N475">
        <v>6.9093</v>
      </c>
      <c r="O475">
        <v>6.9517000000000007</v>
      </c>
      <c r="P475">
        <v>6.9941000000000004</v>
      </c>
      <c r="Q475">
        <v>7.0541750000000008</v>
      </c>
      <c r="R475">
        <v>7.0742000000000003</v>
      </c>
      <c r="S475">
        <v>7.1123500000000002</v>
      </c>
      <c r="T475">
        <v>7.1505000000000001</v>
      </c>
      <c r="U475">
        <v>7.2231399999999999</v>
      </c>
      <c r="V475">
        <v>7.2412999999999998</v>
      </c>
      <c r="W475">
        <v>7.2932600000000001</v>
      </c>
      <c r="X475">
        <v>7.3278999999999996</v>
      </c>
      <c r="Y475">
        <v>7.3611399999999998</v>
      </c>
      <c r="Z475">
        <v>7.4109999999999996</v>
      </c>
      <c r="AA475">
        <v>7.4270199999999997</v>
      </c>
      <c r="AB475">
        <v>7.4911000000000003</v>
      </c>
      <c r="AC475">
        <v>7.5671999999999997</v>
      </c>
      <c r="AD475">
        <v>7.6433</v>
      </c>
      <c r="AE475">
        <v>7.7150999999999996</v>
      </c>
      <c r="AF475">
        <v>7.7869000000000002</v>
      </c>
      <c r="AG475">
        <v>7.8550500000000003</v>
      </c>
      <c r="AH475">
        <v>7.9231999999999996</v>
      </c>
      <c r="AI475">
        <v>7.9882</v>
      </c>
      <c r="AJ475">
        <v>8.0532000000000004</v>
      </c>
      <c r="AK475">
        <v>8.1154499999999992</v>
      </c>
      <c r="AL475">
        <v>8.1776999999999997</v>
      </c>
    </row>
    <row r="476" spans="1:38" x14ac:dyDescent="0.3">
      <c r="A476">
        <v>975</v>
      </c>
      <c r="B476">
        <v>178.79</v>
      </c>
      <c r="C476" t="s">
        <v>0</v>
      </c>
      <c r="D476">
        <v>1.1259999999999999</v>
      </c>
      <c r="E476">
        <v>199.04</v>
      </c>
      <c r="F476" t="s">
        <v>21</v>
      </c>
      <c r="G476" t="s">
        <v>21</v>
      </c>
      <c r="H476" t="s">
        <v>21</v>
      </c>
      <c r="I476" t="s">
        <v>21</v>
      </c>
      <c r="J476" t="s">
        <v>21</v>
      </c>
      <c r="K476">
        <v>211.55</v>
      </c>
      <c r="L476">
        <v>222.79</v>
      </c>
      <c r="M476">
        <v>225.5025</v>
      </c>
      <c r="N476">
        <v>233.64</v>
      </c>
      <c r="O476">
        <v>238.92</v>
      </c>
      <c r="P476">
        <v>244.2</v>
      </c>
      <c r="Q476">
        <v>251.97</v>
      </c>
      <c r="R476">
        <v>254.56</v>
      </c>
      <c r="S476">
        <v>259.65999999999997</v>
      </c>
      <c r="T476">
        <v>264.76</v>
      </c>
      <c r="U476">
        <v>274.83199999999999</v>
      </c>
      <c r="V476">
        <v>277.35000000000002</v>
      </c>
      <c r="W476">
        <v>284.82600000000002</v>
      </c>
      <c r="X476">
        <v>289.81</v>
      </c>
      <c r="Y476">
        <v>294.75400000000002</v>
      </c>
      <c r="Z476">
        <v>302.17</v>
      </c>
      <c r="AA476">
        <v>304.62600000000003</v>
      </c>
      <c r="AB476">
        <v>314.45</v>
      </c>
      <c r="AC476">
        <v>326.65499999999997</v>
      </c>
      <c r="AD476">
        <v>338.86</v>
      </c>
      <c r="AE476">
        <v>350.98500000000001</v>
      </c>
      <c r="AF476">
        <v>363.11</v>
      </c>
      <c r="AG476">
        <v>375.185</v>
      </c>
      <c r="AH476">
        <v>387.26</v>
      </c>
      <c r="AI476">
        <v>399.28999999999996</v>
      </c>
      <c r="AJ476">
        <v>411.32</v>
      </c>
      <c r="AK476">
        <v>423.315</v>
      </c>
      <c r="AL476">
        <v>435.31</v>
      </c>
    </row>
    <row r="477" spans="1:38" x14ac:dyDescent="0.3">
      <c r="A477">
        <v>975</v>
      </c>
      <c r="B477">
        <v>178.79</v>
      </c>
      <c r="C477" t="s">
        <v>18</v>
      </c>
      <c r="D477">
        <v>756.66300000000001</v>
      </c>
      <c r="E477">
        <v>2581.1</v>
      </c>
      <c r="F477" t="s">
        <v>21</v>
      </c>
      <c r="G477" t="s">
        <v>21</v>
      </c>
      <c r="H477" t="s">
        <v>21</v>
      </c>
      <c r="I477" t="s">
        <v>21</v>
      </c>
      <c r="J477" t="s">
        <v>21</v>
      </c>
      <c r="K477">
        <v>2622</v>
      </c>
      <c r="L477">
        <v>2658.6</v>
      </c>
      <c r="M477">
        <v>2667.4</v>
      </c>
      <c r="N477">
        <v>2693.8</v>
      </c>
      <c r="O477">
        <v>2710.9</v>
      </c>
      <c r="P477">
        <v>2728</v>
      </c>
      <c r="Q477">
        <v>2753.125</v>
      </c>
      <c r="R477">
        <v>2761.5</v>
      </c>
      <c r="S477">
        <v>2778.05</v>
      </c>
      <c r="T477">
        <v>2794.6</v>
      </c>
      <c r="U477">
        <v>2827.4</v>
      </c>
      <c r="V477">
        <v>2835.6</v>
      </c>
      <c r="W477">
        <v>2860.14</v>
      </c>
      <c r="X477">
        <v>2876.5</v>
      </c>
      <c r="Y477">
        <v>2892.82</v>
      </c>
      <c r="Z477">
        <v>2917.3</v>
      </c>
      <c r="AA477">
        <v>2925.48</v>
      </c>
      <c r="AB477">
        <v>2958.2</v>
      </c>
      <c r="AC477">
        <v>2999.45</v>
      </c>
      <c r="AD477">
        <v>3040.7</v>
      </c>
      <c r="AE477">
        <v>3082.6</v>
      </c>
      <c r="AF477">
        <v>3124.5</v>
      </c>
      <c r="AG477">
        <v>3167.15</v>
      </c>
      <c r="AH477">
        <v>3209.8</v>
      </c>
      <c r="AI477">
        <v>3253.2</v>
      </c>
      <c r="AJ477">
        <v>3296.6</v>
      </c>
      <c r="AK477">
        <v>3340.8</v>
      </c>
      <c r="AL477">
        <v>3385</v>
      </c>
    </row>
    <row r="478" spans="1:38" x14ac:dyDescent="0.3">
      <c r="A478">
        <v>975</v>
      </c>
      <c r="B478">
        <v>178.79</v>
      </c>
      <c r="C478" t="s">
        <v>19</v>
      </c>
      <c r="D478">
        <v>757.76099999999997</v>
      </c>
      <c r="E478">
        <v>2775.2</v>
      </c>
      <c r="F478" t="s">
        <v>21</v>
      </c>
      <c r="G478" t="s">
        <v>21</v>
      </c>
      <c r="H478" t="s">
        <v>21</v>
      </c>
      <c r="I478" t="s">
        <v>21</v>
      </c>
      <c r="J478" t="s">
        <v>21</v>
      </c>
      <c r="K478">
        <v>2828.3</v>
      </c>
      <c r="L478">
        <v>2875.8</v>
      </c>
      <c r="M478">
        <v>2887.25</v>
      </c>
      <c r="N478">
        <v>2921.6</v>
      </c>
      <c r="O478">
        <v>2943.85</v>
      </c>
      <c r="P478">
        <v>2966.1</v>
      </c>
      <c r="Q478">
        <v>2998.7999999999997</v>
      </c>
      <c r="R478">
        <v>3009.7</v>
      </c>
      <c r="S478">
        <v>3031.25</v>
      </c>
      <c r="T478">
        <v>3052.8</v>
      </c>
      <c r="U478">
        <v>3095.44</v>
      </c>
      <c r="V478">
        <v>3106.1</v>
      </c>
      <c r="W478">
        <v>3137.84</v>
      </c>
      <c r="X478">
        <v>3159</v>
      </c>
      <c r="Y478">
        <v>3180.16</v>
      </c>
      <c r="Z478">
        <v>3211.9</v>
      </c>
      <c r="AA478">
        <v>3222.48</v>
      </c>
      <c r="AB478">
        <v>3264.8</v>
      </c>
      <c r="AC478">
        <v>3317.95</v>
      </c>
      <c r="AD478">
        <v>3371.1</v>
      </c>
      <c r="AE478">
        <v>3424.85</v>
      </c>
      <c r="AF478">
        <v>3478.6</v>
      </c>
      <c r="AG478">
        <v>3532.95</v>
      </c>
      <c r="AH478">
        <v>3587.3</v>
      </c>
      <c r="AI478">
        <v>3642.45</v>
      </c>
      <c r="AJ478">
        <v>3697.6</v>
      </c>
      <c r="AK478">
        <v>3753.5</v>
      </c>
      <c r="AL478">
        <v>3809.4</v>
      </c>
    </row>
    <row r="479" spans="1:38" x14ac:dyDescent="0.3">
      <c r="A479">
        <v>975</v>
      </c>
      <c r="B479">
        <v>178.79</v>
      </c>
      <c r="C479" t="s">
        <v>20</v>
      </c>
      <c r="D479">
        <v>2.1274999999999999</v>
      </c>
      <c r="E479">
        <v>6.5915999999999997</v>
      </c>
      <c r="F479" t="s">
        <v>21</v>
      </c>
      <c r="G479" t="s">
        <v>21</v>
      </c>
      <c r="H479" t="s">
        <v>21</v>
      </c>
      <c r="I479" t="s">
        <v>21</v>
      </c>
      <c r="J479" t="s">
        <v>21</v>
      </c>
      <c r="K479">
        <v>6.7064000000000004</v>
      </c>
      <c r="L479">
        <v>6.8048000000000002</v>
      </c>
      <c r="M479">
        <v>6.8275500000000005</v>
      </c>
      <c r="N479">
        <v>6.8958000000000004</v>
      </c>
      <c r="O479">
        <v>6.9383499999999998</v>
      </c>
      <c r="P479">
        <v>6.9809000000000001</v>
      </c>
      <c r="Q479">
        <v>7.0411250000000001</v>
      </c>
      <c r="R479">
        <v>7.0612000000000004</v>
      </c>
      <c r="S479">
        <v>7.09945</v>
      </c>
      <c r="T479">
        <v>7.1376999999999997</v>
      </c>
      <c r="U479">
        <v>7.2104200000000001</v>
      </c>
      <c r="V479">
        <v>7.2286000000000001</v>
      </c>
      <c r="W479">
        <v>7.2806800000000003</v>
      </c>
      <c r="X479">
        <v>7.3154000000000003</v>
      </c>
      <c r="Y479">
        <v>7.3486799999999999</v>
      </c>
      <c r="Z479">
        <v>7.3986000000000001</v>
      </c>
      <c r="AA479">
        <v>7.4146200000000002</v>
      </c>
      <c r="AB479">
        <v>7.4786999999999999</v>
      </c>
      <c r="AC479">
        <v>7.5548500000000001</v>
      </c>
      <c r="AD479">
        <v>7.6310000000000002</v>
      </c>
      <c r="AE479">
        <v>7.7028499999999998</v>
      </c>
      <c r="AF479">
        <v>7.7747000000000002</v>
      </c>
      <c r="AG479">
        <v>7.8428500000000003</v>
      </c>
      <c r="AH479">
        <v>7.9109999999999996</v>
      </c>
      <c r="AI479">
        <v>7.976</v>
      </c>
      <c r="AJ479">
        <v>8.0410000000000004</v>
      </c>
      <c r="AK479">
        <v>8.1032999999999991</v>
      </c>
      <c r="AL479">
        <v>8.1655999999999995</v>
      </c>
    </row>
    <row r="480" spans="1:38" x14ac:dyDescent="0.3">
      <c r="A480">
        <v>1000</v>
      </c>
      <c r="B480">
        <v>179.88</v>
      </c>
      <c r="C480" t="s">
        <v>0</v>
      </c>
      <c r="D480">
        <v>1.127</v>
      </c>
      <c r="E480">
        <v>194.29</v>
      </c>
      <c r="F480" t="s">
        <v>21</v>
      </c>
      <c r="G480" t="s">
        <v>21</v>
      </c>
      <c r="H480" t="s">
        <v>21</v>
      </c>
      <c r="I480" t="s">
        <v>21</v>
      </c>
      <c r="J480" t="s">
        <v>21</v>
      </c>
      <c r="K480">
        <v>205.92</v>
      </c>
      <c r="L480">
        <v>216.93</v>
      </c>
      <c r="M480">
        <v>219.58500000000001</v>
      </c>
      <c r="N480">
        <v>227.55</v>
      </c>
      <c r="O480">
        <v>232.72</v>
      </c>
      <c r="P480">
        <v>237.89</v>
      </c>
      <c r="Q480">
        <v>245.48</v>
      </c>
      <c r="R480">
        <v>248.01</v>
      </c>
      <c r="S480">
        <v>252.995</v>
      </c>
      <c r="T480">
        <v>257.98</v>
      </c>
      <c r="U480">
        <v>267.81200000000001</v>
      </c>
      <c r="V480">
        <v>270.27</v>
      </c>
      <c r="W480">
        <v>277.56599999999997</v>
      </c>
      <c r="X480">
        <v>282.43</v>
      </c>
      <c r="Y480">
        <v>287.25799999999998</v>
      </c>
      <c r="Z480">
        <v>294.5</v>
      </c>
      <c r="AA480">
        <v>296.89800000000002</v>
      </c>
      <c r="AB480">
        <v>306.49</v>
      </c>
      <c r="AC480">
        <v>318.39499999999998</v>
      </c>
      <c r="AD480">
        <v>330.3</v>
      </c>
      <c r="AE480">
        <v>342.13</v>
      </c>
      <c r="AF480">
        <v>353.96</v>
      </c>
      <c r="AG480">
        <v>365.74</v>
      </c>
      <c r="AH480">
        <v>377.52</v>
      </c>
      <c r="AI480">
        <v>389.25</v>
      </c>
      <c r="AJ480">
        <v>400.98</v>
      </c>
      <c r="AK480">
        <v>412.68</v>
      </c>
      <c r="AL480">
        <v>424.38</v>
      </c>
    </row>
    <row r="481" spans="1:38" x14ac:dyDescent="0.3">
      <c r="A481">
        <v>1000</v>
      </c>
      <c r="B481">
        <v>179.88</v>
      </c>
      <c r="C481" t="s">
        <v>18</v>
      </c>
      <c r="D481">
        <v>761.47799999999995</v>
      </c>
      <c r="E481">
        <v>2581.9</v>
      </c>
      <c r="F481" t="s">
        <v>21</v>
      </c>
      <c r="G481" t="s">
        <v>21</v>
      </c>
      <c r="H481" t="s">
        <v>21</v>
      </c>
      <c r="I481" t="s">
        <v>21</v>
      </c>
      <c r="J481" t="s">
        <v>21</v>
      </c>
      <c r="K481">
        <v>2620.9</v>
      </c>
      <c r="L481">
        <v>2657.7</v>
      </c>
      <c r="M481">
        <v>2666.5249999999996</v>
      </c>
      <c r="N481">
        <v>2693</v>
      </c>
      <c r="O481">
        <v>2710.2</v>
      </c>
      <c r="P481">
        <v>2727.4</v>
      </c>
      <c r="Q481">
        <v>2752.6</v>
      </c>
      <c r="R481">
        <v>2761</v>
      </c>
      <c r="S481">
        <v>2777.6</v>
      </c>
      <c r="T481">
        <v>2794.2</v>
      </c>
      <c r="U481">
        <v>2827</v>
      </c>
      <c r="V481">
        <v>2835.2</v>
      </c>
      <c r="W481">
        <v>2859.74</v>
      </c>
      <c r="X481">
        <v>2876.1</v>
      </c>
      <c r="Y481">
        <v>2892.46</v>
      </c>
      <c r="Z481">
        <v>2917</v>
      </c>
      <c r="AA481">
        <v>2925.18</v>
      </c>
      <c r="AB481">
        <v>2957.9</v>
      </c>
      <c r="AC481">
        <v>2999.2</v>
      </c>
      <c r="AD481">
        <v>3040.5</v>
      </c>
      <c r="AE481">
        <v>3082.4</v>
      </c>
      <c r="AF481">
        <v>3124.3</v>
      </c>
      <c r="AG481">
        <v>3166.95</v>
      </c>
      <c r="AH481">
        <v>3209.6</v>
      </c>
      <c r="AI481">
        <v>3253</v>
      </c>
      <c r="AJ481">
        <v>3296.4</v>
      </c>
      <c r="AK481">
        <v>3340.65</v>
      </c>
      <c r="AL481">
        <v>3384.9</v>
      </c>
    </row>
    <row r="482" spans="1:38" x14ac:dyDescent="0.3">
      <c r="A482">
        <v>1000</v>
      </c>
      <c r="B482">
        <v>179.88</v>
      </c>
      <c r="C482" t="s">
        <v>19</v>
      </c>
      <c r="D482">
        <v>762.60500000000002</v>
      </c>
      <c r="E482">
        <v>2776.2</v>
      </c>
      <c r="F482" t="s">
        <v>21</v>
      </c>
      <c r="G482" t="s">
        <v>21</v>
      </c>
      <c r="H482" t="s">
        <v>21</v>
      </c>
      <c r="I482" t="s">
        <v>21</v>
      </c>
      <c r="J482" t="s">
        <v>21</v>
      </c>
      <c r="K482">
        <v>2826.8</v>
      </c>
      <c r="L482">
        <v>2874.6</v>
      </c>
      <c r="M482">
        <v>2886.1</v>
      </c>
      <c r="N482">
        <v>2920.6</v>
      </c>
      <c r="O482">
        <v>2942.8999999999996</v>
      </c>
      <c r="P482">
        <v>2965.2</v>
      </c>
      <c r="Q482">
        <v>2998.05</v>
      </c>
      <c r="R482">
        <v>3009</v>
      </c>
      <c r="S482">
        <v>3030.55</v>
      </c>
      <c r="T482">
        <v>3052.1</v>
      </c>
      <c r="U482">
        <v>3094.82</v>
      </c>
      <c r="V482">
        <v>3105.5</v>
      </c>
      <c r="W482">
        <v>3137.3</v>
      </c>
      <c r="X482">
        <v>3158.5</v>
      </c>
      <c r="Y482">
        <v>3179.7</v>
      </c>
      <c r="Z482">
        <v>3211.5</v>
      </c>
      <c r="AA482">
        <v>3222.08</v>
      </c>
      <c r="AB482">
        <v>3264.4</v>
      </c>
      <c r="AC482">
        <v>3317.6000000000004</v>
      </c>
      <c r="AD482">
        <v>3370.8</v>
      </c>
      <c r="AE482">
        <v>3424.55</v>
      </c>
      <c r="AF482">
        <v>3478.3</v>
      </c>
      <c r="AG482">
        <v>3532.7</v>
      </c>
      <c r="AH482">
        <v>3587.1</v>
      </c>
      <c r="AI482">
        <v>3642.25</v>
      </c>
      <c r="AJ482">
        <v>3697.4</v>
      </c>
      <c r="AK482">
        <v>3753.3500000000004</v>
      </c>
      <c r="AL482">
        <v>3809.3</v>
      </c>
    </row>
    <row r="483" spans="1:38" x14ac:dyDescent="0.3">
      <c r="A483">
        <v>1000</v>
      </c>
      <c r="B483">
        <v>179.88</v>
      </c>
      <c r="C483" t="s">
        <v>20</v>
      </c>
      <c r="D483">
        <v>2.1381999999999999</v>
      </c>
      <c r="E483">
        <v>6.5827999999999998</v>
      </c>
      <c r="F483" t="s">
        <v>21</v>
      </c>
      <c r="G483" t="s">
        <v>21</v>
      </c>
      <c r="H483" t="s">
        <v>21</v>
      </c>
      <c r="I483" t="s">
        <v>21</v>
      </c>
      <c r="J483" t="s">
        <v>21</v>
      </c>
      <c r="K483">
        <v>6.6921999999999997</v>
      </c>
      <c r="L483">
        <v>6.7911000000000001</v>
      </c>
      <c r="M483">
        <v>6.8139500000000002</v>
      </c>
      <c r="N483">
        <v>6.8825000000000003</v>
      </c>
      <c r="O483">
        <v>6.9252500000000001</v>
      </c>
      <c r="P483">
        <v>6.968</v>
      </c>
      <c r="Q483">
        <v>7.0283749999999996</v>
      </c>
      <c r="R483">
        <v>7.0484999999999998</v>
      </c>
      <c r="S483">
        <v>7.0868000000000002</v>
      </c>
      <c r="T483">
        <v>7.1250999999999998</v>
      </c>
      <c r="U483">
        <v>7.1980599999999999</v>
      </c>
      <c r="V483">
        <v>7.2163000000000004</v>
      </c>
      <c r="W483">
        <v>7.2683799999999996</v>
      </c>
      <c r="X483">
        <v>7.3030999999999997</v>
      </c>
      <c r="Y483">
        <v>7.3364199999999995</v>
      </c>
      <c r="Z483">
        <v>7.3864000000000001</v>
      </c>
      <c r="AA483">
        <v>7.4024200000000002</v>
      </c>
      <c r="AB483">
        <v>7.4664999999999999</v>
      </c>
      <c r="AC483">
        <v>7.5427499999999998</v>
      </c>
      <c r="AD483">
        <v>7.6189999999999998</v>
      </c>
      <c r="AE483">
        <v>7.6908499999999993</v>
      </c>
      <c r="AF483">
        <v>7.7626999999999997</v>
      </c>
      <c r="AG483">
        <v>7.8308999999999997</v>
      </c>
      <c r="AH483">
        <v>7.8990999999999998</v>
      </c>
      <c r="AI483">
        <v>7.9641500000000001</v>
      </c>
      <c r="AJ483">
        <v>8.0291999999999994</v>
      </c>
      <c r="AK483">
        <v>8.09145</v>
      </c>
      <c r="AL483">
        <v>8.1537000000000006</v>
      </c>
    </row>
    <row r="484" spans="1:38" x14ac:dyDescent="0.3">
      <c r="A484">
        <v>1050</v>
      </c>
      <c r="B484">
        <v>182.02</v>
      </c>
      <c r="C484" t="s">
        <v>0</v>
      </c>
      <c r="D484">
        <v>1.1299999999999999</v>
      </c>
      <c r="E484">
        <v>185.45</v>
      </c>
      <c r="F484" t="s">
        <v>21</v>
      </c>
      <c r="G484" t="s">
        <v>21</v>
      </c>
      <c r="H484" t="s">
        <v>21</v>
      </c>
      <c r="I484" t="s">
        <v>21</v>
      </c>
      <c r="J484" t="s">
        <v>21</v>
      </c>
      <c r="K484">
        <v>195.45</v>
      </c>
      <c r="L484">
        <v>206.04</v>
      </c>
      <c r="M484">
        <v>208.59</v>
      </c>
      <c r="N484">
        <v>216.24</v>
      </c>
      <c r="O484">
        <v>221.19499999999999</v>
      </c>
      <c r="P484">
        <v>226.15</v>
      </c>
      <c r="Q484">
        <v>233.41750000000002</v>
      </c>
      <c r="R484">
        <v>235.84</v>
      </c>
      <c r="S484">
        <v>240.60500000000002</v>
      </c>
      <c r="T484">
        <v>245.37</v>
      </c>
      <c r="U484">
        <v>254.77</v>
      </c>
      <c r="V484">
        <v>257.12</v>
      </c>
      <c r="W484">
        <v>264.09199999999998</v>
      </c>
      <c r="X484">
        <v>268.74</v>
      </c>
      <c r="Y484">
        <v>273.34399999999999</v>
      </c>
      <c r="Z484">
        <v>280.25</v>
      </c>
      <c r="AA484">
        <v>282.53800000000001</v>
      </c>
      <c r="AB484">
        <v>291.69</v>
      </c>
      <c r="AC484">
        <v>303.05</v>
      </c>
      <c r="AD484">
        <v>314.41000000000003</v>
      </c>
      <c r="AE484">
        <v>325.69000000000005</v>
      </c>
      <c r="AF484">
        <v>336.97</v>
      </c>
      <c r="AG484">
        <v>348.20000000000005</v>
      </c>
      <c r="AH484">
        <v>359.43</v>
      </c>
      <c r="AI484">
        <v>370.61</v>
      </c>
      <c r="AJ484">
        <v>381.79</v>
      </c>
      <c r="AK484">
        <v>392.94500000000005</v>
      </c>
      <c r="AL484">
        <v>404.1</v>
      </c>
    </row>
    <row r="485" spans="1:38" x14ac:dyDescent="0.3">
      <c r="A485">
        <v>1050</v>
      </c>
      <c r="B485">
        <v>182.02</v>
      </c>
      <c r="C485" t="s">
        <v>18</v>
      </c>
      <c r="D485">
        <v>770.84299999999996</v>
      </c>
      <c r="E485">
        <v>2583.3000000000002</v>
      </c>
      <c r="F485" t="s">
        <v>21</v>
      </c>
      <c r="G485" t="s">
        <v>21</v>
      </c>
      <c r="H485" t="s">
        <v>21</v>
      </c>
      <c r="I485" t="s">
        <v>21</v>
      </c>
      <c r="J485" t="s">
        <v>21</v>
      </c>
      <c r="K485">
        <v>2618.5</v>
      </c>
      <c r="L485">
        <v>2655.8</v>
      </c>
      <c r="M485">
        <v>2664.7250000000004</v>
      </c>
      <c r="N485">
        <v>2691.5</v>
      </c>
      <c r="O485">
        <v>2708.8</v>
      </c>
      <c r="P485">
        <v>2726.1</v>
      </c>
      <c r="Q485">
        <v>2751.45</v>
      </c>
      <c r="R485">
        <v>2759.9</v>
      </c>
      <c r="S485">
        <v>2776.55</v>
      </c>
      <c r="T485">
        <v>2793.2</v>
      </c>
      <c r="U485">
        <v>2826.16</v>
      </c>
      <c r="V485">
        <v>2834.4</v>
      </c>
      <c r="W485">
        <v>2859</v>
      </c>
      <c r="X485">
        <v>2875.4</v>
      </c>
      <c r="Y485">
        <v>2891.76</v>
      </c>
      <c r="Z485">
        <v>2916.3</v>
      </c>
      <c r="AA485">
        <v>2924.52</v>
      </c>
      <c r="AB485">
        <v>2957.4</v>
      </c>
      <c r="AC485">
        <v>2998.7</v>
      </c>
      <c r="AD485">
        <v>3040</v>
      </c>
      <c r="AE485">
        <v>3081.95</v>
      </c>
      <c r="AF485">
        <v>3123.9</v>
      </c>
      <c r="AG485">
        <v>3166.55</v>
      </c>
      <c r="AH485">
        <v>3209.2</v>
      </c>
      <c r="AI485">
        <v>3252.6499999999996</v>
      </c>
      <c r="AJ485">
        <v>3296.1</v>
      </c>
      <c r="AK485">
        <v>3340.35</v>
      </c>
      <c r="AL485">
        <v>3384.6</v>
      </c>
    </row>
    <row r="486" spans="1:38" x14ac:dyDescent="0.3">
      <c r="A486">
        <v>1050</v>
      </c>
      <c r="B486">
        <v>182.02</v>
      </c>
      <c r="C486" t="s">
        <v>19</v>
      </c>
      <c r="D486">
        <v>772.029</v>
      </c>
      <c r="E486">
        <v>2778</v>
      </c>
      <c r="F486" t="s">
        <v>21</v>
      </c>
      <c r="G486" t="s">
        <v>21</v>
      </c>
      <c r="H486" t="s">
        <v>21</v>
      </c>
      <c r="I486" t="s">
        <v>21</v>
      </c>
      <c r="J486" t="s">
        <v>21</v>
      </c>
      <c r="K486">
        <v>2823.8</v>
      </c>
      <c r="L486">
        <v>2872.1</v>
      </c>
      <c r="M486">
        <v>2883.7</v>
      </c>
      <c r="N486">
        <v>2918.5</v>
      </c>
      <c r="O486">
        <v>2941</v>
      </c>
      <c r="P486">
        <v>2963.5</v>
      </c>
      <c r="Q486">
        <v>2996.5</v>
      </c>
      <c r="R486">
        <v>3007.5</v>
      </c>
      <c r="S486">
        <v>3029.15</v>
      </c>
      <c r="T486">
        <v>3050.8</v>
      </c>
      <c r="U486">
        <v>3093.6800000000003</v>
      </c>
      <c r="V486">
        <v>3104.4</v>
      </c>
      <c r="W486">
        <v>3136.32</v>
      </c>
      <c r="X486">
        <v>3157.6</v>
      </c>
      <c r="Y486">
        <v>3178.7999999999997</v>
      </c>
      <c r="Z486">
        <v>3210.6</v>
      </c>
      <c r="AA486">
        <v>3221.2</v>
      </c>
      <c r="AB486">
        <v>3263.6</v>
      </c>
      <c r="AC486">
        <v>3316.9</v>
      </c>
      <c r="AD486">
        <v>3370.2</v>
      </c>
      <c r="AE486">
        <v>3423.95</v>
      </c>
      <c r="AF486">
        <v>3477.7</v>
      </c>
      <c r="AG486">
        <v>3532.1499999999996</v>
      </c>
      <c r="AH486">
        <v>3586.6</v>
      </c>
      <c r="AI486">
        <v>3641.8</v>
      </c>
      <c r="AJ486">
        <v>3697</v>
      </c>
      <c r="AK486">
        <v>3752.95</v>
      </c>
      <c r="AL486">
        <v>3808.9</v>
      </c>
    </row>
    <row r="487" spans="1:38" x14ac:dyDescent="0.3">
      <c r="A487">
        <v>1050</v>
      </c>
      <c r="B487">
        <v>182.02</v>
      </c>
      <c r="C487" t="s">
        <v>20</v>
      </c>
      <c r="D487">
        <v>2.1587999999999998</v>
      </c>
      <c r="E487">
        <v>6.5659000000000001</v>
      </c>
      <c r="F487" t="s">
        <v>21</v>
      </c>
      <c r="G487" t="s">
        <v>21</v>
      </c>
      <c r="H487" t="s">
        <v>21</v>
      </c>
      <c r="I487" t="s">
        <v>21</v>
      </c>
      <c r="J487" t="s">
        <v>21</v>
      </c>
      <c r="K487">
        <v>6.6645000000000003</v>
      </c>
      <c r="L487">
        <v>6.7647000000000004</v>
      </c>
      <c r="M487">
        <v>6.7877500000000008</v>
      </c>
      <c r="N487">
        <v>6.8569000000000004</v>
      </c>
      <c r="O487">
        <v>6.8999500000000005</v>
      </c>
      <c r="P487">
        <v>6.9429999999999996</v>
      </c>
      <c r="Q487">
        <v>7.0037500000000001</v>
      </c>
      <c r="R487">
        <v>7.024</v>
      </c>
      <c r="S487">
        <v>7.0624500000000001</v>
      </c>
      <c r="T487">
        <v>7.1009000000000002</v>
      </c>
      <c r="U487">
        <v>7.1741000000000001</v>
      </c>
      <c r="V487">
        <v>7.1924000000000001</v>
      </c>
      <c r="W487">
        <v>7.2446599999999997</v>
      </c>
      <c r="X487">
        <v>7.2794999999999996</v>
      </c>
      <c r="Y487">
        <v>7.3128599999999997</v>
      </c>
      <c r="Z487">
        <v>7.3628999999999998</v>
      </c>
      <c r="AA487">
        <v>7.3789600000000002</v>
      </c>
      <c r="AB487">
        <v>7.4432</v>
      </c>
      <c r="AC487">
        <v>7.5194999999999999</v>
      </c>
      <c r="AD487">
        <v>7.5957999999999997</v>
      </c>
      <c r="AE487">
        <v>7.6677499999999998</v>
      </c>
      <c r="AF487">
        <v>7.7397</v>
      </c>
      <c r="AG487">
        <v>7.8079499999999999</v>
      </c>
      <c r="AH487">
        <v>7.8761999999999999</v>
      </c>
      <c r="AI487">
        <v>7.9412500000000001</v>
      </c>
      <c r="AJ487">
        <v>8.0062999999999995</v>
      </c>
      <c r="AK487">
        <v>8.0686</v>
      </c>
      <c r="AL487">
        <v>8.1309000000000005</v>
      </c>
    </row>
    <row r="488" spans="1:38" x14ac:dyDescent="0.3">
      <c r="A488">
        <v>1100</v>
      </c>
      <c r="B488">
        <v>184.07</v>
      </c>
      <c r="C488" t="s">
        <v>0</v>
      </c>
      <c r="D488">
        <v>1.133</v>
      </c>
      <c r="E488">
        <v>177.38</v>
      </c>
      <c r="F488" t="s">
        <v>21</v>
      </c>
      <c r="G488" t="s">
        <v>21</v>
      </c>
      <c r="H488" t="s">
        <v>21</v>
      </c>
      <c r="I488" t="s">
        <v>21</v>
      </c>
      <c r="J488" t="s">
        <v>21</v>
      </c>
      <c r="K488">
        <v>185.92</v>
      </c>
      <c r="L488">
        <v>196.14</v>
      </c>
      <c r="M488">
        <v>198.595</v>
      </c>
      <c r="N488">
        <v>205.96</v>
      </c>
      <c r="O488">
        <v>210.715</v>
      </c>
      <c r="P488">
        <v>215.47</v>
      </c>
      <c r="Q488">
        <v>222.44499999999999</v>
      </c>
      <c r="R488">
        <v>224.77</v>
      </c>
      <c r="S488">
        <v>229.34</v>
      </c>
      <c r="T488">
        <v>233.91</v>
      </c>
      <c r="U488">
        <v>242.91</v>
      </c>
      <c r="V488">
        <v>245.16</v>
      </c>
      <c r="W488">
        <v>251.83199999999999</v>
      </c>
      <c r="X488">
        <v>256.27999999999997</v>
      </c>
      <c r="Y488">
        <v>260.68799999999999</v>
      </c>
      <c r="Z488">
        <v>267.3</v>
      </c>
      <c r="AA488">
        <v>269.488</v>
      </c>
      <c r="AB488">
        <v>278.24</v>
      </c>
      <c r="AC488">
        <v>289.10000000000002</v>
      </c>
      <c r="AD488">
        <v>299.95999999999998</v>
      </c>
      <c r="AE488">
        <v>310.745</v>
      </c>
      <c r="AF488">
        <v>321.52999999999997</v>
      </c>
      <c r="AG488">
        <v>332.255</v>
      </c>
      <c r="AH488">
        <v>342.98</v>
      </c>
      <c r="AI488">
        <v>353.66500000000002</v>
      </c>
      <c r="AJ488">
        <v>364.35</v>
      </c>
      <c r="AK488">
        <v>375</v>
      </c>
      <c r="AL488">
        <v>385.65</v>
      </c>
    </row>
    <row r="489" spans="1:38" x14ac:dyDescent="0.3">
      <c r="A489">
        <v>1100</v>
      </c>
      <c r="B489">
        <v>184.07</v>
      </c>
      <c r="C489" t="s">
        <v>18</v>
      </c>
      <c r="D489">
        <v>779.87800000000004</v>
      </c>
      <c r="E489">
        <v>2584.5</v>
      </c>
      <c r="F489" t="s">
        <v>21</v>
      </c>
      <c r="G489" t="s">
        <v>21</v>
      </c>
      <c r="H489" t="s">
        <v>21</v>
      </c>
      <c r="I489" t="s">
        <v>21</v>
      </c>
      <c r="J489" t="s">
        <v>21</v>
      </c>
      <c r="K489">
        <v>2616.1999999999998</v>
      </c>
      <c r="L489">
        <v>2653.9</v>
      </c>
      <c r="M489">
        <v>2662.9</v>
      </c>
      <c r="N489">
        <v>2689.9</v>
      </c>
      <c r="O489">
        <v>2707.3</v>
      </c>
      <c r="P489">
        <v>2724.7</v>
      </c>
      <c r="Q489">
        <v>2750.2750000000001</v>
      </c>
      <c r="R489">
        <v>2758.8</v>
      </c>
      <c r="S489">
        <v>2775.5</v>
      </c>
      <c r="T489">
        <v>2792.2</v>
      </c>
      <c r="U489">
        <v>2825.3199999999997</v>
      </c>
      <c r="V489">
        <v>2833.6</v>
      </c>
      <c r="W489">
        <v>2858.2599999999998</v>
      </c>
      <c r="X489">
        <v>2874.7</v>
      </c>
      <c r="Y489">
        <v>2891.1</v>
      </c>
      <c r="Z489">
        <v>2915.7</v>
      </c>
      <c r="AA489">
        <v>2923.92</v>
      </c>
      <c r="AB489">
        <v>2956.8</v>
      </c>
      <c r="AC489">
        <v>2998.2</v>
      </c>
      <c r="AD489">
        <v>3039.6</v>
      </c>
      <c r="AE489">
        <v>3081.55</v>
      </c>
      <c r="AF489">
        <v>3123.5</v>
      </c>
      <c r="AG489">
        <v>3166.2</v>
      </c>
      <c r="AH489">
        <v>3208.9</v>
      </c>
      <c r="AI489">
        <v>3252.3500000000004</v>
      </c>
      <c r="AJ489">
        <v>3295.8</v>
      </c>
      <c r="AK489">
        <v>3340.05</v>
      </c>
      <c r="AL489">
        <v>3384.3</v>
      </c>
    </row>
    <row r="490" spans="1:38" x14ac:dyDescent="0.3">
      <c r="A490">
        <v>1100</v>
      </c>
      <c r="B490">
        <v>184.07</v>
      </c>
      <c r="C490" t="s">
        <v>19</v>
      </c>
      <c r="D490">
        <v>781.12400000000002</v>
      </c>
      <c r="E490">
        <v>2779.7</v>
      </c>
      <c r="F490" t="s">
        <v>21</v>
      </c>
      <c r="G490" t="s">
        <v>21</v>
      </c>
      <c r="H490" t="s">
        <v>21</v>
      </c>
      <c r="I490" t="s">
        <v>21</v>
      </c>
      <c r="J490" t="s">
        <v>21</v>
      </c>
      <c r="K490">
        <v>2820.7</v>
      </c>
      <c r="L490">
        <v>2869.6</v>
      </c>
      <c r="M490">
        <v>2881.3</v>
      </c>
      <c r="N490">
        <v>2916.4</v>
      </c>
      <c r="O490">
        <v>2939.1000000000004</v>
      </c>
      <c r="P490">
        <v>2961.8</v>
      </c>
      <c r="Q490">
        <v>2994.95</v>
      </c>
      <c r="R490">
        <v>3006</v>
      </c>
      <c r="S490">
        <v>3027.8</v>
      </c>
      <c r="T490">
        <v>3049.6</v>
      </c>
      <c r="U490">
        <v>3092.56</v>
      </c>
      <c r="V490">
        <v>3103.3</v>
      </c>
      <c r="W490">
        <v>3135.28</v>
      </c>
      <c r="X490">
        <v>3156.6</v>
      </c>
      <c r="Y490">
        <v>3177.8399999999997</v>
      </c>
      <c r="Z490">
        <v>3209.7</v>
      </c>
      <c r="AA490">
        <v>3220.3399999999997</v>
      </c>
      <c r="AB490">
        <v>3262.9</v>
      </c>
      <c r="AC490">
        <v>3316.2000000000003</v>
      </c>
      <c r="AD490">
        <v>3369.5</v>
      </c>
      <c r="AE490">
        <v>3423.35</v>
      </c>
      <c r="AF490">
        <v>3477.2</v>
      </c>
      <c r="AG490">
        <v>3531.7</v>
      </c>
      <c r="AH490">
        <v>3586.2</v>
      </c>
      <c r="AI490">
        <v>3641.3999999999996</v>
      </c>
      <c r="AJ490">
        <v>3696.6</v>
      </c>
      <c r="AK490">
        <v>3752.55</v>
      </c>
      <c r="AL490">
        <v>3808.5</v>
      </c>
    </row>
    <row r="491" spans="1:38" x14ac:dyDescent="0.3">
      <c r="A491">
        <v>1100</v>
      </c>
      <c r="B491">
        <v>184.07</v>
      </c>
      <c r="C491" t="s">
        <v>20</v>
      </c>
      <c r="D491">
        <v>2.1785999999999999</v>
      </c>
      <c r="E491">
        <v>6.5496999999999996</v>
      </c>
      <c r="F491" t="s">
        <v>21</v>
      </c>
      <c r="G491" t="s">
        <v>21</v>
      </c>
      <c r="H491" t="s">
        <v>21</v>
      </c>
      <c r="I491" t="s">
        <v>21</v>
      </c>
      <c r="J491" t="s">
        <v>21</v>
      </c>
      <c r="K491">
        <v>6.6379000000000001</v>
      </c>
      <c r="L491">
        <v>6.7392000000000003</v>
      </c>
      <c r="M491">
        <v>6.7624750000000002</v>
      </c>
      <c r="N491">
        <v>6.8323</v>
      </c>
      <c r="O491">
        <v>6.8756500000000003</v>
      </c>
      <c r="P491">
        <v>6.9189999999999996</v>
      </c>
      <c r="Q491">
        <v>6.9801249999999992</v>
      </c>
      <c r="R491">
        <v>7.0004999999999997</v>
      </c>
      <c r="S491">
        <v>7.0391499999999994</v>
      </c>
      <c r="T491">
        <v>7.0777999999999999</v>
      </c>
      <c r="U491">
        <v>7.15116</v>
      </c>
      <c r="V491">
        <v>7.1695000000000002</v>
      </c>
      <c r="W491">
        <v>7.22194</v>
      </c>
      <c r="X491">
        <v>7.2568999999999999</v>
      </c>
      <c r="Y491">
        <v>7.2903399999999996</v>
      </c>
      <c r="Z491">
        <v>7.3404999999999996</v>
      </c>
      <c r="AA491">
        <v>7.3565799999999992</v>
      </c>
      <c r="AB491">
        <v>7.4208999999999996</v>
      </c>
      <c r="AC491">
        <v>7.4972999999999992</v>
      </c>
      <c r="AD491">
        <v>7.5736999999999997</v>
      </c>
      <c r="AE491">
        <v>7.6456999999999997</v>
      </c>
      <c r="AF491">
        <v>7.7176999999999998</v>
      </c>
      <c r="AG491">
        <v>7.7859999999999996</v>
      </c>
      <c r="AH491">
        <v>7.8543000000000003</v>
      </c>
      <c r="AI491">
        <v>7.9193999999999996</v>
      </c>
      <c r="AJ491">
        <v>7.9844999999999997</v>
      </c>
      <c r="AK491">
        <v>8.0468499999999992</v>
      </c>
      <c r="AL491">
        <v>8.1091999999999995</v>
      </c>
    </row>
    <row r="492" spans="1:38" x14ac:dyDescent="0.3">
      <c r="A492">
        <v>1150</v>
      </c>
      <c r="B492">
        <v>186.05</v>
      </c>
      <c r="C492" t="s">
        <v>0</v>
      </c>
      <c r="D492">
        <v>1.1359999999999999</v>
      </c>
      <c r="E492">
        <v>169.99</v>
      </c>
      <c r="F492" t="s">
        <v>21</v>
      </c>
      <c r="G492" t="s">
        <v>21</v>
      </c>
      <c r="H492" t="s">
        <v>21</v>
      </c>
      <c r="I492" t="s">
        <v>21</v>
      </c>
      <c r="J492" t="s">
        <v>21</v>
      </c>
      <c r="K492">
        <v>177.22</v>
      </c>
      <c r="L492">
        <v>187.1</v>
      </c>
      <c r="M492">
        <v>189.465</v>
      </c>
      <c r="N492">
        <v>196.56</v>
      </c>
      <c r="O492">
        <v>201.14499999999998</v>
      </c>
      <c r="P492">
        <v>205.73</v>
      </c>
      <c r="Q492">
        <v>212.435</v>
      </c>
      <c r="R492">
        <v>214.67</v>
      </c>
      <c r="S492">
        <v>219.05500000000001</v>
      </c>
      <c r="T492">
        <v>223.44</v>
      </c>
      <c r="U492">
        <v>232.08799999999999</v>
      </c>
      <c r="V492">
        <v>234.25</v>
      </c>
      <c r="W492">
        <v>240.64599999999999</v>
      </c>
      <c r="X492">
        <v>244.91</v>
      </c>
      <c r="Y492">
        <v>249.13399999999999</v>
      </c>
      <c r="Z492">
        <v>255.47</v>
      </c>
      <c r="AA492">
        <v>257.56799999999998</v>
      </c>
      <c r="AB492">
        <v>265.95999999999998</v>
      </c>
      <c r="AC492">
        <v>276.36500000000001</v>
      </c>
      <c r="AD492">
        <v>286.77</v>
      </c>
      <c r="AE492">
        <v>297.09500000000003</v>
      </c>
      <c r="AF492">
        <v>307.42</v>
      </c>
      <c r="AG492">
        <v>317.69500000000005</v>
      </c>
      <c r="AH492">
        <v>327.97</v>
      </c>
      <c r="AI492">
        <v>338.19500000000005</v>
      </c>
      <c r="AJ492">
        <v>348.42</v>
      </c>
      <c r="AK492">
        <v>358.61500000000001</v>
      </c>
      <c r="AL492">
        <v>368.81</v>
      </c>
    </row>
    <row r="493" spans="1:38" x14ac:dyDescent="0.3">
      <c r="A493">
        <v>1150</v>
      </c>
      <c r="B493">
        <v>186.05</v>
      </c>
      <c r="C493" t="s">
        <v>18</v>
      </c>
      <c r="D493">
        <v>788.61099999999999</v>
      </c>
      <c r="E493">
        <v>2585.8000000000002</v>
      </c>
      <c r="F493" t="s">
        <v>21</v>
      </c>
      <c r="G493" t="s">
        <v>21</v>
      </c>
      <c r="H493" t="s">
        <v>21</v>
      </c>
      <c r="I493" t="s">
        <v>21</v>
      </c>
      <c r="J493" t="s">
        <v>21</v>
      </c>
      <c r="K493">
        <v>2613.8000000000002</v>
      </c>
      <c r="L493">
        <v>2651.9</v>
      </c>
      <c r="M493">
        <v>2661</v>
      </c>
      <c r="N493">
        <v>2688.3</v>
      </c>
      <c r="O493">
        <v>2705.8500000000004</v>
      </c>
      <c r="P493">
        <v>2723.4</v>
      </c>
      <c r="Q493">
        <v>2749.125</v>
      </c>
      <c r="R493">
        <v>2757.7</v>
      </c>
      <c r="S493">
        <v>2774.5</v>
      </c>
      <c r="T493">
        <v>2791.3</v>
      </c>
      <c r="U493">
        <v>2824.5</v>
      </c>
      <c r="V493">
        <v>2832.8</v>
      </c>
      <c r="W493">
        <v>2857.52</v>
      </c>
      <c r="X493">
        <v>2874</v>
      </c>
      <c r="Y493">
        <v>2890.44</v>
      </c>
      <c r="Z493">
        <v>2915.1</v>
      </c>
      <c r="AA493">
        <v>2923.3199999999997</v>
      </c>
      <c r="AB493">
        <v>2956.2</v>
      </c>
      <c r="AC493">
        <v>2997.6499999999996</v>
      </c>
      <c r="AD493">
        <v>3039.1</v>
      </c>
      <c r="AE493">
        <v>3081.1</v>
      </c>
      <c r="AF493">
        <v>3123.1</v>
      </c>
      <c r="AG493">
        <v>3165.8</v>
      </c>
      <c r="AH493">
        <v>3208.5</v>
      </c>
      <c r="AI493">
        <v>3252</v>
      </c>
      <c r="AJ493">
        <v>3295.5</v>
      </c>
      <c r="AK493">
        <v>3339.8</v>
      </c>
      <c r="AL493">
        <v>3384.1</v>
      </c>
    </row>
    <row r="494" spans="1:38" x14ac:dyDescent="0.3">
      <c r="A494">
        <v>1150</v>
      </c>
      <c r="B494">
        <v>186.05</v>
      </c>
      <c r="C494" t="s">
        <v>19</v>
      </c>
      <c r="D494">
        <v>789.91700000000003</v>
      </c>
      <c r="E494">
        <v>2781.3</v>
      </c>
      <c r="F494" t="s">
        <v>21</v>
      </c>
      <c r="G494" t="s">
        <v>21</v>
      </c>
      <c r="H494" t="s">
        <v>21</v>
      </c>
      <c r="I494" t="s">
        <v>21</v>
      </c>
      <c r="J494" t="s">
        <v>21</v>
      </c>
      <c r="K494">
        <v>2817.6</v>
      </c>
      <c r="L494">
        <v>2867.1</v>
      </c>
      <c r="M494">
        <v>2878.9250000000002</v>
      </c>
      <c r="N494">
        <v>2914.4</v>
      </c>
      <c r="O494">
        <v>2937.2</v>
      </c>
      <c r="P494">
        <v>2960</v>
      </c>
      <c r="Q494">
        <v>2993.375</v>
      </c>
      <c r="R494">
        <v>3004.5</v>
      </c>
      <c r="S494">
        <v>3026.35</v>
      </c>
      <c r="T494">
        <v>3048.2</v>
      </c>
      <c r="U494">
        <v>3091.3999999999996</v>
      </c>
      <c r="V494">
        <v>3102.2</v>
      </c>
      <c r="W494">
        <v>3134.24</v>
      </c>
      <c r="X494">
        <v>3155.6</v>
      </c>
      <c r="Y494">
        <v>3176.92</v>
      </c>
      <c r="Z494">
        <v>3208.9</v>
      </c>
      <c r="AA494">
        <v>3219.54</v>
      </c>
      <c r="AB494">
        <v>3262.1</v>
      </c>
      <c r="AC494">
        <v>3315.5</v>
      </c>
      <c r="AD494">
        <v>3368.9</v>
      </c>
      <c r="AE494">
        <v>3422.75</v>
      </c>
      <c r="AF494">
        <v>3476.6</v>
      </c>
      <c r="AG494">
        <v>3531.1499999999996</v>
      </c>
      <c r="AH494">
        <v>3585.7</v>
      </c>
      <c r="AI494">
        <v>3640.95</v>
      </c>
      <c r="AJ494">
        <v>3696.2</v>
      </c>
      <c r="AK494">
        <v>3752.2</v>
      </c>
      <c r="AL494">
        <v>3808.2</v>
      </c>
    </row>
    <row r="495" spans="1:38" x14ac:dyDescent="0.3">
      <c r="A495">
        <v>1150</v>
      </c>
      <c r="B495">
        <v>186.05</v>
      </c>
      <c r="C495" t="s">
        <v>20</v>
      </c>
      <c r="D495">
        <v>2.1977000000000002</v>
      </c>
      <c r="E495">
        <v>6.5342000000000002</v>
      </c>
      <c r="F495" t="s">
        <v>21</v>
      </c>
      <c r="G495" t="s">
        <v>21</v>
      </c>
      <c r="H495" t="s">
        <v>21</v>
      </c>
      <c r="I495" t="s">
        <v>21</v>
      </c>
      <c r="J495" t="s">
        <v>21</v>
      </c>
      <c r="K495">
        <v>6.6121999999999996</v>
      </c>
      <c r="L495">
        <v>6.7146999999999997</v>
      </c>
      <c r="M495">
        <v>6.738175</v>
      </c>
      <c r="N495">
        <v>6.8086000000000002</v>
      </c>
      <c r="O495">
        <v>6.8522499999999997</v>
      </c>
      <c r="P495">
        <v>6.8959000000000001</v>
      </c>
      <c r="Q495">
        <v>6.9573999999999998</v>
      </c>
      <c r="R495">
        <v>6.9779</v>
      </c>
      <c r="S495">
        <v>7.01675</v>
      </c>
      <c r="T495">
        <v>7.0556000000000001</v>
      </c>
      <c r="U495">
        <v>7.1292</v>
      </c>
      <c r="V495">
        <v>7.1475999999999997</v>
      </c>
      <c r="W495">
        <v>7.2001599999999994</v>
      </c>
      <c r="X495">
        <v>7.2351999999999999</v>
      </c>
      <c r="Y495">
        <v>7.2687200000000001</v>
      </c>
      <c r="Z495">
        <v>7.319</v>
      </c>
      <c r="AA495">
        <v>7.3350999999999997</v>
      </c>
      <c r="AB495">
        <v>7.3994999999999997</v>
      </c>
      <c r="AC495">
        <v>7.476</v>
      </c>
      <c r="AD495">
        <v>7.5525000000000002</v>
      </c>
      <c r="AE495">
        <v>7.6245500000000002</v>
      </c>
      <c r="AF495">
        <v>7.6966000000000001</v>
      </c>
      <c r="AG495">
        <v>7.7649500000000007</v>
      </c>
      <c r="AH495">
        <v>7.8333000000000004</v>
      </c>
      <c r="AI495">
        <v>7.8984500000000004</v>
      </c>
      <c r="AJ495">
        <v>7.9635999999999996</v>
      </c>
      <c r="AK495">
        <v>8.0259499999999999</v>
      </c>
      <c r="AL495">
        <v>8.0883000000000003</v>
      </c>
    </row>
    <row r="496" spans="1:38" x14ac:dyDescent="0.3">
      <c r="A496">
        <v>1200</v>
      </c>
      <c r="B496">
        <v>187.96</v>
      </c>
      <c r="C496" t="s">
        <v>0</v>
      </c>
      <c r="D496">
        <v>1.139</v>
      </c>
      <c r="E496">
        <v>163.19999999999999</v>
      </c>
      <c r="F496" t="s">
        <v>21</v>
      </c>
      <c r="G496" t="s">
        <v>21</v>
      </c>
      <c r="H496" t="s">
        <v>21</v>
      </c>
      <c r="I496" t="s">
        <v>21</v>
      </c>
      <c r="J496" t="s">
        <v>21</v>
      </c>
      <c r="K496">
        <v>169.23</v>
      </c>
      <c r="L496">
        <v>178.8</v>
      </c>
      <c r="M496">
        <v>181.08750000000001</v>
      </c>
      <c r="N496">
        <v>187.95</v>
      </c>
      <c r="O496">
        <v>192.37</v>
      </c>
      <c r="P496">
        <v>196.79</v>
      </c>
      <c r="Q496">
        <v>203.2475</v>
      </c>
      <c r="R496">
        <v>205.4</v>
      </c>
      <c r="S496">
        <v>209.625</v>
      </c>
      <c r="T496">
        <v>213.85</v>
      </c>
      <c r="U496">
        <v>222.16200000000001</v>
      </c>
      <c r="V496">
        <v>224.24</v>
      </c>
      <c r="W496">
        <v>230.39000000000001</v>
      </c>
      <c r="X496">
        <v>234.49</v>
      </c>
      <c r="Y496">
        <v>238.54599999999999</v>
      </c>
      <c r="Z496">
        <v>244.63</v>
      </c>
      <c r="AA496">
        <v>246.64400000000001</v>
      </c>
      <c r="AB496">
        <v>254.7</v>
      </c>
      <c r="AC496">
        <v>264.69</v>
      </c>
      <c r="AD496">
        <v>274.68</v>
      </c>
      <c r="AE496">
        <v>284.59000000000003</v>
      </c>
      <c r="AF496">
        <v>294.5</v>
      </c>
      <c r="AG496">
        <v>304.35000000000002</v>
      </c>
      <c r="AH496">
        <v>314.2</v>
      </c>
      <c r="AI496">
        <v>324.01</v>
      </c>
      <c r="AJ496">
        <v>333.82</v>
      </c>
      <c r="AK496">
        <v>343.6</v>
      </c>
      <c r="AL496">
        <v>353.38</v>
      </c>
    </row>
    <row r="497" spans="1:38" x14ac:dyDescent="0.3">
      <c r="A497">
        <v>1200</v>
      </c>
      <c r="B497">
        <v>187.96</v>
      </c>
      <c r="C497" t="s">
        <v>18</v>
      </c>
      <c r="D497">
        <v>797.06399999999996</v>
      </c>
      <c r="E497">
        <v>2586.9</v>
      </c>
      <c r="F497" t="s">
        <v>21</v>
      </c>
      <c r="G497" t="s">
        <v>21</v>
      </c>
      <c r="H497" t="s">
        <v>21</v>
      </c>
      <c r="I497" t="s">
        <v>21</v>
      </c>
      <c r="J497" t="s">
        <v>21</v>
      </c>
      <c r="K497">
        <v>2611.3000000000002</v>
      </c>
      <c r="L497">
        <v>2650</v>
      </c>
      <c r="M497">
        <v>2659.1750000000002</v>
      </c>
      <c r="N497">
        <v>2686.7</v>
      </c>
      <c r="O497">
        <v>2704.3999999999996</v>
      </c>
      <c r="P497">
        <v>2722.1</v>
      </c>
      <c r="Q497">
        <v>2747.9</v>
      </c>
      <c r="R497">
        <v>2756.5</v>
      </c>
      <c r="S497">
        <v>2773.4</v>
      </c>
      <c r="T497">
        <v>2790.3</v>
      </c>
      <c r="U497">
        <v>2823.66</v>
      </c>
      <c r="V497">
        <v>2832</v>
      </c>
      <c r="W497">
        <v>2856.78</v>
      </c>
      <c r="X497">
        <v>2873.3</v>
      </c>
      <c r="Y497">
        <v>2889.7400000000002</v>
      </c>
      <c r="Z497">
        <v>2914.4</v>
      </c>
      <c r="AA497">
        <v>2922.66</v>
      </c>
      <c r="AB497">
        <v>2955.7</v>
      </c>
      <c r="AC497">
        <v>2997.1499999999996</v>
      </c>
      <c r="AD497">
        <v>3038.6</v>
      </c>
      <c r="AE497">
        <v>3080.6499999999996</v>
      </c>
      <c r="AF497">
        <v>3122.7</v>
      </c>
      <c r="AG497">
        <v>3165.45</v>
      </c>
      <c r="AH497">
        <v>3208.2</v>
      </c>
      <c r="AI497">
        <v>3251.7</v>
      </c>
      <c r="AJ497">
        <v>3295.2</v>
      </c>
      <c r="AK497">
        <v>3339.5</v>
      </c>
      <c r="AL497">
        <v>3383.8</v>
      </c>
    </row>
    <row r="498" spans="1:38" x14ac:dyDescent="0.3">
      <c r="A498">
        <v>1200</v>
      </c>
      <c r="B498">
        <v>187.96</v>
      </c>
      <c r="C498" t="s">
        <v>19</v>
      </c>
      <c r="D498">
        <v>798.43</v>
      </c>
      <c r="E498">
        <v>2782.7</v>
      </c>
      <c r="F498" t="s">
        <v>21</v>
      </c>
      <c r="G498" t="s">
        <v>21</v>
      </c>
      <c r="H498" t="s">
        <v>21</v>
      </c>
      <c r="I498" t="s">
        <v>21</v>
      </c>
      <c r="J498" t="s">
        <v>21</v>
      </c>
      <c r="K498">
        <v>2814.4</v>
      </c>
      <c r="L498">
        <v>2864.5</v>
      </c>
      <c r="M498">
        <v>2876.4250000000002</v>
      </c>
      <c r="N498">
        <v>2912.2</v>
      </c>
      <c r="O498">
        <v>2935.2</v>
      </c>
      <c r="P498">
        <v>2958.2</v>
      </c>
      <c r="Q498">
        <v>2991.8</v>
      </c>
      <c r="R498">
        <v>3003</v>
      </c>
      <c r="S498">
        <v>3024.95</v>
      </c>
      <c r="T498">
        <v>3046.9</v>
      </c>
      <c r="U498">
        <v>3090.18</v>
      </c>
      <c r="V498">
        <v>3101</v>
      </c>
      <c r="W498">
        <v>3133.16</v>
      </c>
      <c r="X498">
        <v>3154.6</v>
      </c>
      <c r="Y498">
        <v>3175.96</v>
      </c>
      <c r="Z498">
        <v>3208</v>
      </c>
      <c r="AA498">
        <v>3218.66</v>
      </c>
      <c r="AB498">
        <v>3261.3</v>
      </c>
      <c r="AC498">
        <v>3314.75</v>
      </c>
      <c r="AD498">
        <v>3368.2</v>
      </c>
      <c r="AE498">
        <v>3422.1499999999996</v>
      </c>
      <c r="AF498">
        <v>3476.1</v>
      </c>
      <c r="AG498">
        <v>3530.6499999999996</v>
      </c>
      <c r="AH498">
        <v>3585.2</v>
      </c>
      <c r="AI498">
        <v>3640.5</v>
      </c>
      <c r="AJ498">
        <v>3695.8</v>
      </c>
      <c r="AK498">
        <v>3751.8</v>
      </c>
      <c r="AL498">
        <v>3807.8</v>
      </c>
    </row>
    <row r="499" spans="1:38" x14ac:dyDescent="0.3">
      <c r="A499">
        <v>1200</v>
      </c>
      <c r="B499">
        <v>187.96</v>
      </c>
      <c r="C499" t="s">
        <v>20</v>
      </c>
      <c r="D499">
        <v>2.2161</v>
      </c>
      <c r="E499">
        <v>6.5194000000000001</v>
      </c>
      <c r="F499" t="s">
        <v>21</v>
      </c>
      <c r="G499" t="s">
        <v>21</v>
      </c>
      <c r="H499" t="s">
        <v>21</v>
      </c>
      <c r="I499" t="s">
        <v>21</v>
      </c>
      <c r="J499" t="s">
        <v>21</v>
      </c>
      <c r="K499">
        <v>6.5872000000000002</v>
      </c>
      <c r="L499">
        <v>6.6909000000000001</v>
      </c>
      <c r="M499">
        <v>6.7146249999999998</v>
      </c>
      <c r="N499">
        <v>6.7858000000000001</v>
      </c>
      <c r="O499">
        <v>6.8298000000000005</v>
      </c>
      <c r="P499">
        <v>6.8738000000000001</v>
      </c>
      <c r="Q499">
        <v>6.9356</v>
      </c>
      <c r="R499">
        <v>6.9561999999999999</v>
      </c>
      <c r="S499">
        <v>6.9952000000000005</v>
      </c>
      <c r="T499">
        <v>7.0342000000000002</v>
      </c>
      <c r="U499">
        <v>7.1081199999999995</v>
      </c>
      <c r="V499">
        <v>7.1265999999999998</v>
      </c>
      <c r="W499">
        <v>7.1792800000000003</v>
      </c>
      <c r="X499">
        <v>7.2144000000000004</v>
      </c>
      <c r="Y499">
        <v>7.24796</v>
      </c>
      <c r="Z499">
        <v>7.2983000000000002</v>
      </c>
      <c r="AA499">
        <v>7.3144400000000003</v>
      </c>
      <c r="AB499">
        <v>7.3789999999999996</v>
      </c>
      <c r="AC499">
        <v>7.4556500000000003</v>
      </c>
      <c r="AD499">
        <v>7.5323000000000002</v>
      </c>
      <c r="AE499">
        <v>7.6044</v>
      </c>
      <c r="AF499">
        <v>7.6764999999999999</v>
      </c>
      <c r="AG499">
        <v>7.7448499999999996</v>
      </c>
      <c r="AH499">
        <v>7.8132000000000001</v>
      </c>
      <c r="AI499">
        <v>7.8784000000000001</v>
      </c>
      <c r="AJ499">
        <v>7.9436</v>
      </c>
      <c r="AK499">
        <v>8.0060000000000002</v>
      </c>
      <c r="AL499">
        <v>8.0684000000000005</v>
      </c>
    </row>
    <row r="500" spans="1:38" x14ac:dyDescent="0.3">
      <c r="A500">
        <v>1250</v>
      </c>
      <c r="B500">
        <v>189.81</v>
      </c>
      <c r="C500" t="s">
        <v>0</v>
      </c>
      <c r="D500">
        <v>1.141</v>
      </c>
      <c r="E500">
        <v>156.93</v>
      </c>
      <c r="F500" t="s">
        <v>21</v>
      </c>
      <c r="G500" t="s">
        <v>21</v>
      </c>
      <c r="H500" t="s">
        <v>21</v>
      </c>
      <c r="I500" t="s">
        <v>21</v>
      </c>
      <c r="J500" t="s">
        <v>21</v>
      </c>
      <c r="K500">
        <v>161.88</v>
      </c>
      <c r="L500">
        <v>171.17</v>
      </c>
      <c r="M500">
        <v>173.38249999999999</v>
      </c>
      <c r="N500">
        <v>180.02</v>
      </c>
      <c r="O500">
        <v>184.29000000000002</v>
      </c>
      <c r="P500">
        <v>188.56</v>
      </c>
      <c r="Q500">
        <v>194.8</v>
      </c>
      <c r="R500">
        <v>196.88</v>
      </c>
      <c r="S500">
        <v>200.95</v>
      </c>
      <c r="T500">
        <v>205.02</v>
      </c>
      <c r="U500">
        <v>213.02799999999999</v>
      </c>
      <c r="V500">
        <v>215.03</v>
      </c>
      <c r="W500">
        <v>220.952</v>
      </c>
      <c r="X500">
        <v>224.9</v>
      </c>
      <c r="Y500">
        <v>228.804</v>
      </c>
      <c r="Z500">
        <v>234.66</v>
      </c>
      <c r="AA500">
        <v>236.59799999999998</v>
      </c>
      <c r="AB500">
        <v>244.35</v>
      </c>
      <c r="AC500">
        <v>253.95</v>
      </c>
      <c r="AD500">
        <v>263.55</v>
      </c>
      <c r="AE500">
        <v>273.07500000000005</v>
      </c>
      <c r="AF500">
        <v>282.60000000000002</v>
      </c>
      <c r="AG500">
        <v>292.07000000000005</v>
      </c>
      <c r="AH500">
        <v>301.54000000000002</v>
      </c>
      <c r="AI500">
        <v>310.96500000000003</v>
      </c>
      <c r="AJ500">
        <v>320.39</v>
      </c>
      <c r="AK500">
        <v>329.78499999999997</v>
      </c>
      <c r="AL500">
        <v>339.18</v>
      </c>
    </row>
    <row r="501" spans="1:38" x14ac:dyDescent="0.3">
      <c r="A501">
        <v>1250</v>
      </c>
      <c r="B501">
        <v>189.81</v>
      </c>
      <c r="C501" t="s">
        <v>18</v>
      </c>
      <c r="D501">
        <v>805.25900000000001</v>
      </c>
      <c r="E501">
        <v>2588</v>
      </c>
      <c r="F501" t="s">
        <v>21</v>
      </c>
      <c r="G501" t="s">
        <v>21</v>
      </c>
      <c r="H501" t="s">
        <v>21</v>
      </c>
      <c r="I501" t="s">
        <v>21</v>
      </c>
      <c r="J501" t="s">
        <v>21</v>
      </c>
      <c r="K501">
        <v>2608.9</v>
      </c>
      <c r="L501">
        <v>2648</v>
      </c>
      <c r="M501">
        <v>2657.2750000000001</v>
      </c>
      <c r="N501">
        <v>2685.1</v>
      </c>
      <c r="O501">
        <v>2702.95</v>
      </c>
      <c r="P501">
        <v>2720.8</v>
      </c>
      <c r="Q501">
        <v>2746.75</v>
      </c>
      <c r="R501">
        <v>2755.4</v>
      </c>
      <c r="S501">
        <v>2772.3500000000004</v>
      </c>
      <c r="T501">
        <v>2789.3</v>
      </c>
      <c r="U501">
        <v>2822.74</v>
      </c>
      <c r="V501">
        <v>2831.1</v>
      </c>
      <c r="W501">
        <v>2855.94</v>
      </c>
      <c r="X501">
        <v>2872.5</v>
      </c>
      <c r="Y501">
        <v>2889.02</v>
      </c>
      <c r="Z501">
        <v>2913.8</v>
      </c>
      <c r="AA501">
        <v>2922.06</v>
      </c>
      <c r="AB501">
        <v>2955.1</v>
      </c>
      <c r="AC501">
        <v>2996.6</v>
      </c>
      <c r="AD501">
        <v>3038.1</v>
      </c>
      <c r="AE501">
        <v>3080.2</v>
      </c>
      <c r="AF501">
        <v>3122.3</v>
      </c>
      <c r="AG501">
        <v>3165.05</v>
      </c>
      <c r="AH501">
        <v>3207.8</v>
      </c>
      <c r="AI501">
        <v>3251.3500000000004</v>
      </c>
      <c r="AJ501">
        <v>3294.9</v>
      </c>
      <c r="AK501">
        <v>3339.2</v>
      </c>
      <c r="AL501">
        <v>3383.5</v>
      </c>
    </row>
    <row r="502" spans="1:38" x14ac:dyDescent="0.3">
      <c r="A502">
        <v>1250</v>
      </c>
      <c r="B502">
        <v>189.81</v>
      </c>
      <c r="C502" t="s">
        <v>19</v>
      </c>
      <c r="D502">
        <v>806.68499999999995</v>
      </c>
      <c r="E502">
        <v>2784.1</v>
      </c>
      <c r="F502" t="s">
        <v>21</v>
      </c>
      <c r="G502" t="s">
        <v>21</v>
      </c>
      <c r="H502" t="s">
        <v>21</v>
      </c>
      <c r="I502" t="s">
        <v>21</v>
      </c>
      <c r="J502" t="s">
        <v>21</v>
      </c>
      <c r="K502">
        <v>2811.2</v>
      </c>
      <c r="L502">
        <v>2861.9</v>
      </c>
      <c r="M502">
        <v>2873.95</v>
      </c>
      <c r="N502">
        <v>2910.1</v>
      </c>
      <c r="O502">
        <v>2933.3</v>
      </c>
      <c r="P502">
        <v>2956.5</v>
      </c>
      <c r="Q502">
        <v>2990.25</v>
      </c>
      <c r="R502">
        <v>3001.5</v>
      </c>
      <c r="S502">
        <v>3023.55</v>
      </c>
      <c r="T502">
        <v>3045.6</v>
      </c>
      <c r="U502">
        <v>3089.04</v>
      </c>
      <c r="V502">
        <v>3099.9</v>
      </c>
      <c r="W502">
        <v>3132.18</v>
      </c>
      <c r="X502">
        <v>3153.7</v>
      </c>
      <c r="Y502">
        <v>3175.06</v>
      </c>
      <c r="Z502">
        <v>3207.1</v>
      </c>
      <c r="AA502">
        <v>3217.7799999999997</v>
      </c>
      <c r="AB502">
        <v>3260.5</v>
      </c>
      <c r="AC502">
        <v>3314.05</v>
      </c>
      <c r="AD502">
        <v>3367.6</v>
      </c>
      <c r="AE502">
        <v>3421.55</v>
      </c>
      <c r="AF502">
        <v>3475.5</v>
      </c>
      <c r="AG502">
        <v>3530.1</v>
      </c>
      <c r="AH502">
        <v>3584.7</v>
      </c>
      <c r="AI502">
        <v>3640.0499999999997</v>
      </c>
      <c r="AJ502">
        <v>3695.4</v>
      </c>
      <c r="AK502">
        <v>3751.45</v>
      </c>
      <c r="AL502">
        <v>3807.5</v>
      </c>
    </row>
    <row r="503" spans="1:38" x14ac:dyDescent="0.3">
      <c r="A503">
        <v>1250</v>
      </c>
      <c r="B503">
        <v>189.81</v>
      </c>
      <c r="C503" t="s">
        <v>20</v>
      </c>
      <c r="D503">
        <v>2.2338</v>
      </c>
      <c r="E503">
        <v>6.5049999999999999</v>
      </c>
      <c r="F503" t="s">
        <v>21</v>
      </c>
      <c r="G503" t="s">
        <v>21</v>
      </c>
      <c r="H503" t="s">
        <v>21</v>
      </c>
      <c r="I503" t="s">
        <v>21</v>
      </c>
      <c r="J503" t="s">
        <v>21</v>
      </c>
      <c r="K503">
        <v>6.5629999999999997</v>
      </c>
      <c r="L503">
        <v>6.6680000000000001</v>
      </c>
      <c r="M503">
        <v>6.6919250000000003</v>
      </c>
      <c r="N503">
        <v>6.7637</v>
      </c>
      <c r="O503">
        <v>6.8079999999999998</v>
      </c>
      <c r="P503">
        <v>6.8522999999999996</v>
      </c>
      <c r="Q503">
        <v>6.9145500000000002</v>
      </c>
      <c r="R503">
        <v>6.9352999999999998</v>
      </c>
      <c r="S503">
        <v>6.97445</v>
      </c>
      <c r="T503">
        <v>7.0136000000000003</v>
      </c>
      <c r="U503">
        <v>7.0878399999999999</v>
      </c>
      <c r="V503">
        <v>7.1063999999999998</v>
      </c>
      <c r="W503">
        <v>7.1592000000000002</v>
      </c>
      <c r="X503">
        <v>7.1943999999999999</v>
      </c>
      <c r="Y503">
        <v>7.22804</v>
      </c>
      <c r="Z503">
        <v>7.2785000000000002</v>
      </c>
      <c r="AA503">
        <v>7.2946600000000004</v>
      </c>
      <c r="AB503">
        <v>7.3593000000000002</v>
      </c>
      <c r="AC503">
        <v>7.4360499999999998</v>
      </c>
      <c r="AD503">
        <v>7.5128000000000004</v>
      </c>
      <c r="AE503">
        <v>7.5849500000000001</v>
      </c>
      <c r="AF503">
        <v>7.6570999999999998</v>
      </c>
      <c r="AG503">
        <v>7.7255500000000001</v>
      </c>
      <c r="AH503">
        <v>7.7939999999999996</v>
      </c>
      <c r="AI503">
        <v>7.8591999999999995</v>
      </c>
      <c r="AJ503">
        <v>7.9244000000000003</v>
      </c>
      <c r="AK503">
        <v>7.9868500000000004</v>
      </c>
      <c r="AL503">
        <v>8.0493000000000006</v>
      </c>
    </row>
    <row r="504" spans="1:38" x14ac:dyDescent="0.3">
      <c r="A504">
        <v>1300</v>
      </c>
      <c r="B504">
        <v>191.61</v>
      </c>
      <c r="C504" t="s">
        <v>0</v>
      </c>
      <c r="D504">
        <v>1.1439999999999999</v>
      </c>
      <c r="E504">
        <v>151.13</v>
      </c>
      <c r="F504" t="s">
        <v>21</v>
      </c>
      <c r="G504" t="s">
        <v>21</v>
      </c>
      <c r="H504" t="s">
        <v>21</v>
      </c>
      <c r="I504" t="s">
        <v>21</v>
      </c>
      <c r="J504" t="s">
        <v>21</v>
      </c>
      <c r="K504">
        <v>155.09</v>
      </c>
      <c r="L504">
        <v>164.11</v>
      </c>
      <c r="M504">
        <v>166.25749999999999</v>
      </c>
      <c r="N504">
        <v>172.7</v>
      </c>
      <c r="O504">
        <v>176.83499999999998</v>
      </c>
      <c r="P504">
        <v>180.97</v>
      </c>
      <c r="Q504">
        <v>187</v>
      </c>
      <c r="R504">
        <v>189.01</v>
      </c>
      <c r="S504">
        <v>192.94</v>
      </c>
      <c r="T504">
        <v>196.87</v>
      </c>
      <c r="U504">
        <v>204.59800000000001</v>
      </c>
      <c r="V504">
        <v>206.53</v>
      </c>
      <c r="W504">
        <v>212.24200000000002</v>
      </c>
      <c r="X504">
        <v>216.05</v>
      </c>
      <c r="Y504">
        <v>219.81400000000002</v>
      </c>
      <c r="Z504">
        <v>225.46</v>
      </c>
      <c r="AA504">
        <v>227.32599999999999</v>
      </c>
      <c r="AB504">
        <v>234.79</v>
      </c>
      <c r="AC504">
        <v>244.035</v>
      </c>
      <c r="AD504">
        <v>253.28</v>
      </c>
      <c r="AE504">
        <v>262.45</v>
      </c>
      <c r="AF504">
        <v>271.62</v>
      </c>
      <c r="AG504">
        <v>280.73500000000001</v>
      </c>
      <c r="AH504">
        <v>289.85000000000002</v>
      </c>
      <c r="AI504">
        <v>298.92</v>
      </c>
      <c r="AJ504">
        <v>307.99</v>
      </c>
      <c r="AK504">
        <v>317.02999999999997</v>
      </c>
      <c r="AL504">
        <v>326.07</v>
      </c>
    </row>
    <row r="505" spans="1:38" x14ac:dyDescent="0.3">
      <c r="A505">
        <v>1300</v>
      </c>
      <c r="B505">
        <v>191.61</v>
      </c>
      <c r="C505" t="s">
        <v>18</v>
      </c>
      <c r="D505">
        <v>813.21299999999997</v>
      </c>
      <c r="E505">
        <v>2589</v>
      </c>
      <c r="F505" t="s">
        <v>21</v>
      </c>
      <c r="G505" t="s">
        <v>21</v>
      </c>
      <c r="H505" t="s">
        <v>21</v>
      </c>
      <c r="I505" t="s">
        <v>21</v>
      </c>
      <c r="J505" t="s">
        <v>21</v>
      </c>
      <c r="K505">
        <v>2606.4</v>
      </c>
      <c r="L505">
        <v>2646</v>
      </c>
      <c r="M505">
        <v>2655.375</v>
      </c>
      <c r="N505">
        <v>2683.5</v>
      </c>
      <c r="O505">
        <v>2701.45</v>
      </c>
      <c r="P505">
        <v>2719.4</v>
      </c>
      <c r="Q505">
        <v>2745.5750000000003</v>
      </c>
      <c r="R505">
        <v>2754.3</v>
      </c>
      <c r="S505">
        <v>2771.3500000000004</v>
      </c>
      <c r="T505">
        <v>2788.4</v>
      </c>
      <c r="U505">
        <v>2821.92</v>
      </c>
      <c r="V505">
        <v>2830.3</v>
      </c>
      <c r="W505">
        <v>2855.2000000000003</v>
      </c>
      <c r="X505">
        <v>2871.8</v>
      </c>
      <c r="Y505">
        <v>2888.36</v>
      </c>
      <c r="Z505">
        <v>2913.2</v>
      </c>
      <c r="AA505">
        <v>2921.46</v>
      </c>
      <c r="AB505">
        <v>2954.5</v>
      </c>
      <c r="AC505">
        <v>2996.1</v>
      </c>
      <c r="AD505">
        <v>3037.7</v>
      </c>
      <c r="AE505">
        <v>3079.8</v>
      </c>
      <c r="AF505">
        <v>3121.9</v>
      </c>
      <c r="AG505">
        <v>3164.7</v>
      </c>
      <c r="AH505">
        <v>3207.5</v>
      </c>
      <c r="AI505">
        <v>3251.05</v>
      </c>
      <c r="AJ505">
        <v>3294.6</v>
      </c>
      <c r="AK505">
        <v>3338.8999999999996</v>
      </c>
      <c r="AL505">
        <v>3383.2</v>
      </c>
    </row>
    <row r="506" spans="1:38" x14ac:dyDescent="0.3">
      <c r="A506">
        <v>1300</v>
      </c>
      <c r="B506">
        <v>191.61</v>
      </c>
      <c r="C506" t="s">
        <v>19</v>
      </c>
      <c r="D506">
        <v>814.7</v>
      </c>
      <c r="E506">
        <v>2785.4</v>
      </c>
      <c r="F506" t="s">
        <v>21</v>
      </c>
      <c r="G506" t="s">
        <v>21</v>
      </c>
      <c r="H506" t="s">
        <v>21</v>
      </c>
      <c r="I506" t="s">
        <v>21</v>
      </c>
      <c r="J506" t="s">
        <v>21</v>
      </c>
      <c r="K506">
        <v>2808</v>
      </c>
      <c r="L506">
        <v>2859.3</v>
      </c>
      <c r="M506">
        <v>2871.4750000000004</v>
      </c>
      <c r="N506">
        <v>2908</v>
      </c>
      <c r="O506">
        <v>2931.35</v>
      </c>
      <c r="P506">
        <v>2954.7</v>
      </c>
      <c r="Q506">
        <v>2988.6750000000002</v>
      </c>
      <c r="R506">
        <v>3000</v>
      </c>
      <c r="S506">
        <v>3022.15</v>
      </c>
      <c r="T506">
        <v>3044.3</v>
      </c>
      <c r="U506">
        <v>3087.9</v>
      </c>
      <c r="V506">
        <v>3098.8</v>
      </c>
      <c r="W506">
        <v>3131.14</v>
      </c>
      <c r="X506">
        <v>3152.7</v>
      </c>
      <c r="Y506">
        <v>3174.14</v>
      </c>
      <c r="Z506">
        <v>3206.3</v>
      </c>
      <c r="AA506">
        <v>3216.98</v>
      </c>
      <c r="AB506">
        <v>3259.7</v>
      </c>
      <c r="AC506">
        <v>3313.3</v>
      </c>
      <c r="AD506">
        <v>3366.9</v>
      </c>
      <c r="AE506">
        <v>3420.95</v>
      </c>
      <c r="AF506">
        <v>3475</v>
      </c>
      <c r="AG506">
        <v>3529.65</v>
      </c>
      <c r="AH506">
        <v>3584.3</v>
      </c>
      <c r="AI506">
        <v>3639.65</v>
      </c>
      <c r="AJ506">
        <v>3695</v>
      </c>
      <c r="AK506">
        <v>3751.05</v>
      </c>
      <c r="AL506">
        <v>3807.1</v>
      </c>
    </row>
    <row r="507" spans="1:38" x14ac:dyDescent="0.3">
      <c r="A507">
        <v>1300</v>
      </c>
      <c r="B507">
        <v>191.61</v>
      </c>
      <c r="C507" t="s">
        <v>20</v>
      </c>
      <c r="D507">
        <v>2.2509999999999999</v>
      </c>
      <c r="E507">
        <v>6.4912999999999998</v>
      </c>
      <c r="F507" t="s">
        <v>21</v>
      </c>
      <c r="G507" t="s">
        <v>21</v>
      </c>
      <c r="H507" t="s">
        <v>21</v>
      </c>
      <c r="I507" t="s">
        <v>21</v>
      </c>
      <c r="J507" t="s">
        <v>21</v>
      </c>
      <c r="K507">
        <v>6.5393999999999997</v>
      </c>
      <c r="L507">
        <v>6.6456999999999997</v>
      </c>
      <c r="M507">
        <v>6.6698749999999993</v>
      </c>
      <c r="N507">
        <v>6.7423999999999999</v>
      </c>
      <c r="O507">
        <v>6.7869999999999999</v>
      </c>
      <c r="P507">
        <v>6.8315999999999999</v>
      </c>
      <c r="Q507">
        <v>6.8942249999999996</v>
      </c>
      <c r="R507">
        <v>6.9150999999999998</v>
      </c>
      <c r="S507">
        <v>6.9544499999999996</v>
      </c>
      <c r="T507">
        <v>6.9938000000000002</v>
      </c>
      <c r="U507">
        <v>7.0682799999999997</v>
      </c>
      <c r="V507">
        <v>7.0869</v>
      </c>
      <c r="W507">
        <v>7.1398199999999994</v>
      </c>
      <c r="X507">
        <v>7.1750999999999996</v>
      </c>
      <c r="Y507">
        <v>7.2088200000000002</v>
      </c>
      <c r="Z507">
        <v>7.2594000000000003</v>
      </c>
      <c r="AA507">
        <v>7.2755999999999998</v>
      </c>
      <c r="AB507">
        <v>7.3403999999999998</v>
      </c>
      <c r="AC507">
        <v>7.4171999999999993</v>
      </c>
      <c r="AD507">
        <v>7.4939999999999998</v>
      </c>
      <c r="AE507">
        <v>7.5662500000000001</v>
      </c>
      <c r="AF507">
        <v>7.6384999999999996</v>
      </c>
      <c r="AG507">
        <v>7.70695</v>
      </c>
      <c r="AH507">
        <v>7.7754000000000003</v>
      </c>
      <c r="AI507">
        <v>7.8407</v>
      </c>
      <c r="AJ507">
        <v>7.9059999999999997</v>
      </c>
      <c r="AK507">
        <v>7.9684500000000007</v>
      </c>
      <c r="AL507">
        <v>8.0309000000000008</v>
      </c>
    </row>
    <row r="508" spans="1:38" x14ac:dyDescent="0.3">
      <c r="A508">
        <v>1350</v>
      </c>
      <c r="B508">
        <v>193.35</v>
      </c>
      <c r="C508" t="s">
        <v>0</v>
      </c>
      <c r="D508">
        <v>1.1459999999999999</v>
      </c>
      <c r="E508">
        <v>145.74</v>
      </c>
      <c r="F508" t="s">
        <v>21</v>
      </c>
      <c r="G508" t="s">
        <v>21</v>
      </c>
      <c r="H508" t="s">
        <v>21</v>
      </c>
      <c r="I508" t="s">
        <v>21</v>
      </c>
      <c r="J508" t="s">
        <v>21</v>
      </c>
      <c r="K508">
        <v>148.79</v>
      </c>
      <c r="L508">
        <v>157.518</v>
      </c>
      <c r="M508">
        <v>159.69999999999999</v>
      </c>
      <c r="N508">
        <v>165.85599999999999</v>
      </c>
      <c r="O508">
        <v>169.96</v>
      </c>
      <c r="P508">
        <v>173.892</v>
      </c>
      <c r="Q508">
        <v>179.79</v>
      </c>
      <c r="R508">
        <v>181.69800000000001</v>
      </c>
      <c r="S508">
        <v>185.51400000000001</v>
      </c>
      <c r="T508">
        <v>189.33</v>
      </c>
      <c r="U508">
        <v>196.79400000000001</v>
      </c>
      <c r="V508">
        <v>198.66</v>
      </c>
      <c r="W508">
        <v>204.17400000000001</v>
      </c>
      <c r="X508">
        <v>207.85</v>
      </c>
      <c r="Y508">
        <v>211.482</v>
      </c>
      <c r="Z508">
        <v>216.93</v>
      </c>
      <c r="AA508">
        <v>218.732</v>
      </c>
      <c r="AB508">
        <v>225.94</v>
      </c>
      <c r="AC508">
        <v>234.88</v>
      </c>
      <c r="AD508">
        <v>243.78</v>
      </c>
      <c r="AE508">
        <v>252.63</v>
      </c>
      <c r="AF508">
        <v>261.45999999999998</v>
      </c>
      <c r="AG508">
        <v>270.245</v>
      </c>
      <c r="AH508">
        <v>279.02999999999997</v>
      </c>
      <c r="AI508">
        <v>287.77</v>
      </c>
      <c r="AJ508">
        <v>296.51</v>
      </c>
      <c r="AK508">
        <v>305.22000000000003</v>
      </c>
      <c r="AL508">
        <v>313.93</v>
      </c>
    </row>
    <row r="509" spans="1:38" x14ac:dyDescent="0.3">
      <c r="A509">
        <v>1350</v>
      </c>
      <c r="B509">
        <v>193.35</v>
      </c>
      <c r="C509" t="s">
        <v>18</v>
      </c>
      <c r="D509">
        <v>820.94399999999996</v>
      </c>
      <c r="E509">
        <v>2589.9</v>
      </c>
      <c r="F509" t="s">
        <v>21</v>
      </c>
      <c r="G509" t="s">
        <v>21</v>
      </c>
      <c r="H509" t="s">
        <v>21</v>
      </c>
      <c r="I509" t="s">
        <v>21</v>
      </c>
      <c r="J509" t="s">
        <v>21</v>
      </c>
      <c r="K509">
        <v>2603.9</v>
      </c>
      <c r="L509">
        <v>2643.66</v>
      </c>
      <c r="M509">
        <v>2653.6</v>
      </c>
      <c r="N509">
        <v>2681.5</v>
      </c>
      <c r="O509">
        <v>2700.1</v>
      </c>
      <c r="P509">
        <v>2717.82</v>
      </c>
      <c r="Q509">
        <v>2744.4</v>
      </c>
      <c r="R509">
        <v>2753</v>
      </c>
      <c r="S509">
        <v>2770.2</v>
      </c>
      <c r="T509">
        <v>2787.4</v>
      </c>
      <c r="U509">
        <v>2821.08</v>
      </c>
      <c r="V509">
        <v>2829.5</v>
      </c>
      <c r="W509">
        <v>2854.46</v>
      </c>
      <c r="X509">
        <v>2871.1</v>
      </c>
      <c r="Y509">
        <v>2887.66</v>
      </c>
      <c r="Z509">
        <v>2912.5</v>
      </c>
      <c r="AA509">
        <v>2920.78</v>
      </c>
      <c r="AB509">
        <v>2953.9</v>
      </c>
      <c r="AC509">
        <v>2995.5</v>
      </c>
      <c r="AD509">
        <v>3037.2</v>
      </c>
      <c r="AE509">
        <v>3079.2</v>
      </c>
      <c r="AF509">
        <v>3121.5</v>
      </c>
      <c r="AG509">
        <v>3164.3</v>
      </c>
      <c r="AH509">
        <v>3207.1</v>
      </c>
      <c r="AI509">
        <v>3250.7</v>
      </c>
      <c r="AJ509">
        <v>3294.3</v>
      </c>
      <c r="AK509">
        <v>3338.65</v>
      </c>
      <c r="AL509">
        <v>3383</v>
      </c>
    </row>
    <row r="510" spans="1:38" x14ac:dyDescent="0.3">
      <c r="A510">
        <v>1350</v>
      </c>
      <c r="B510">
        <v>193.35</v>
      </c>
      <c r="C510" t="s">
        <v>19</v>
      </c>
      <c r="D510">
        <v>822.49099999999999</v>
      </c>
      <c r="E510">
        <v>2786.6</v>
      </c>
      <c r="F510" t="s">
        <v>21</v>
      </c>
      <c r="G510" t="s">
        <v>21</v>
      </c>
      <c r="H510" t="s">
        <v>21</v>
      </c>
      <c r="I510" t="s">
        <v>21</v>
      </c>
      <c r="J510" t="s">
        <v>21</v>
      </c>
      <c r="K510">
        <v>2804.7</v>
      </c>
      <c r="L510">
        <v>2856.2999999999997</v>
      </c>
      <c r="M510">
        <v>2869.2</v>
      </c>
      <c r="N510">
        <v>2905.38</v>
      </c>
      <c r="O510">
        <v>2929.5</v>
      </c>
      <c r="P510">
        <v>2952.54</v>
      </c>
      <c r="Q510">
        <v>2987.1</v>
      </c>
      <c r="R510">
        <v>2998.2799999999997</v>
      </c>
      <c r="S510">
        <v>3020.64</v>
      </c>
      <c r="T510">
        <v>3043</v>
      </c>
      <c r="U510">
        <v>3086.7599999999998</v>
      </c>
      <c r="V510">
        <v>3097.7</v>
      </c>
      <c r="W510">
        <v>3130.1</v>
      </c>
      <c r="X510">
        <v>3151.7</v>
      </c>
      <c r="Y510">
        <v>3173.18</v>
      </c>
      <c r="Z510">
        <v>3205.4</v>
      </c>
      <c r="AA510">
        <v>3216.12</v>
      </c>
      <c r="AB510">
        <v>3259</v>
      </c>
      <c r="AC510">
        <v>3312.6</v>
      </c>
      <c r="AD510">
        <v>3366.3</v>
      </c>
      <c r="AE510">
        <v>3420.2</v>
      </c>
      <c r="AF510">
        <v>3474.4</v>
      </c>
      <c r="AG510">
        <v>3529.1000000000004</v>
      </c>
      <c r="AH510">
        <v>3583.8</v>
      </c>
      <c r="AI510">
        <v>3639.15</v>
      </c>
      <c r="AJ510">
        <v>3694.5</v>
      </c>
      <c r="AK510">
        <v>3750.65</v>
      </c>
      <c r="AL510">
        <v>3806.8</v>
      </c>
    </row>
    <row r="511" spans="1:38" x14ac:dyDescent="0.3">
      <c r="A511">
        <v>1350</v>
      </c>
      <c r="B511">
        <v>193.35</v>
      </c>
      <c r="C511" t="s">
        <v>20</v>
      </c>
      <c r="D511">
        <v>2.2675999999999998</v>
      </c>
      <c r="E511">
        <v>6.4779999999999998</v>
      </c>
      <c r="F511" t="s">
        <v>21</v>
      </c>
      <c r="G511" t="s">
        <v>21</v>
      </c>
      <c r="H511" t="s">
        <v>21</v>
      </c>
      <c r="I511" t="s">
        <v>21</v>
      </c>
      <c r="J511" t="s">
        <v>21</v>
      </c>
      <c r="K511">
        <v>6.5164999999999997</v>
      </c>
      <c r="L511">
        <v>6.6227400000000003</v>
      </c>
      <c r="M511">
        <v>6.6493000000000002</v>
      </c>
      <c r="N511">
        <v>6.7202200000000003</v>
      </c>
      <c r="O511">
        <v>6.7675000000000001</v>
      </c>
      <c r="P511">
        <v>6.8105000000000002</v>
      </c>
      <c r="Q511">
        <v>6.875</v>
      </c>
      <c r="R511">
        <v>6.8949199999999999</v>
      </c>
      <c r="S511">
        <v>6.9347599999999998</v>
      </c>
      <c r="T511">
        <v>6.9745999999999997</v>
      </c>
      <c r="U511">
        <v>7.0494000000000003</v>
      </c>
      <c r="V511">
        <v>7.0681000000000003</v>
      </c>
      <c r="W511">
        <v>7.1212</v>
      </c>
      <c r="X511">
        <v>7.1566000000000001</v>
      </c>
      <c r="Y511">
        <v>7.1903600000000001</v>
      </c>
      <c r="Z511">
        <v>7.2409999999999997</v>
      </c>
      <c r="AA511">
        <v>7.2572199999999993</v>
      </c>
      <c r="AB511">
        <v>7.3220999999999998</v>
      </c>
      <c r="AC511">
        <v>7.4002999999999997</v>
      </c>
      <c r="AD511">
        <v>7.4759000000000002</v>
      </c>
      <c r="AE511">
        <v>7.5492999999999997</v>
      </c>
      <c r="AF511">
        <v>7.6204999999999998</v>
      </c>
      <c r="AG511">
        <v>7.6890499999999999</v>
      </c>
      <c r="AH511">
        <v>7.7576000000000001</v>
      </c>
      <c r="AI511">
        <v>7.8229000000000006</v>
      </c>
      <c r="AJ511">
        <v>7.8882000000000003</v>
      </c>
      <c r="AK511">
        <v>7.9506999999999994</v>
      </c>
      <c r="AL511">
        <v>8.0131999999999994</v>
      </c>
    </row>
    <row r="512" spans="1:38" x14ac:dyDescent="0.3">
      <c r="A512">
        <v>1400</v>
      </c>
      <c r="B512">
        <v>195.04</v>
      </c>
      <c r="C512" t="s">
        <v>0</v>
      </c>
      <c r="D512">
        <v>1.149</v>
      </c>
      <c r="E512">
        <v>140.72</v>
      </c>
      <c r="F512" t="s">
        <v>21</v>
      </c>
      <c r="G512" t="s">
        <v>21</v>
      </c>
      <c r="H512" t="s">
        <v>21</v>
      </c>
      <c r="I512" t="s">
        <v>21</v>
      </c>
      <c r="J512" t="s">
        <v>21</v>
      </c>
      <c r="K512">
        <v>142.94</v>
      </c>
      <c r="L512">
        <v>151.44399999999999</v>
      </c>
      <c r="M512">
        <v>153.57</v>
      </c>
      <c r="N512">
        <v>159.55799999999999</v>
      </c>
      <c r="O512">
        <v>163.55000000000001</v>
      </c>
      <c r="P512">
        <v>167.36200000000002</v>
      </c>
      <c r="Q512">
        <v>173.08</v>
      </c>
      <c r="R512">
        <v>174.928</v>
      </c>
      <c r="S512">
        <v>178.624</v>
      </c>
      <c r="T512">
        <v>182.32</v>
      </c>
      <c r="U512">
        <v>189.54399999999998</v>
      </c>
      <c r="V512">
        <v>191.35</v>
      </c>
      <c r="W512">
        <v>196.684</v>
      </c>
      <c r="X512">
        <v>200.24</v>
      </c>
      <c r="Y512">
        <v>203.75200000000001</v>
      </c>
      <c r="Z512">
        <v>209.02</v>
      </c>
      <c r="AA512">
        <v>210.76000000000002</v>
      </c>
      <c r="AB512">
        <v>217.72</v>
      </c>
      <c r="AC512">
        <v>226.35</v>
      </c>
      <c r="AD512">
        <v>234.95</v>
      </c>
      <c r="AE512">
        <v>243.5</v>
      </c>
      <c r="AF512">
        <v>252.02</v>
      </c>
      <c r="AG512">
        <v>260.5</v>
      </c>
      <c r="AH512">
        <v>268.98</v>
      </c>
      <c r="AI512">
        <v>277.41500000000002</v>
      </c>
      <c r="AJ512">
        <v>285.85000000000002</v>
      </c>
      <c r="AK512">
        <v>294.255</v>
      </c>
      <c r="AL512">
        <v>302.66000000000003</v>
      </c>
    </row>
    <row r="513" spans="1:38" x14ac:dyDescent="0.3">
      <c r="A513">
        <v>1400</v>
      </c>
      <c r="B513">
        <v>195.04</v>
      </c>
      <c r="C513" t="s">
        <v>18</v>
      </c>
      <c r="D513">
        <v>828.46500000000003</v>
      </c>
      <c r="E513">
        <v>2590.8000000000002</v>
      </c>
      <c r="F513" t="s">
        <v>21</v>
      </c>
      <c r="G513" t="s">
        <v>21</v>
      </c>
      <c r="H513" t="s">
        <v>21</v>
      </c>
      <c r="I513" t="s">
        <v>21</v>
      </c>
      <c r="J513" t="s">
        <v>21</v>
      </c>
      <c r="K513">
        <v>2601.3000000000002</v>
      </c>
      <c r="L513">
        <v>2641.62</v>
      </c>
      <c r="M513">
        <v>2651.7</v>
      </c>
      <c r="N513">
        <v>2679.8399999999997</v>
      </c>
      <c r="O513">
        <v>2698.6</v>
      </c>
      <c r="P513">
        <v>2716.44</v>
      </c>
      <c r="Q513">
        <v>2743.2</v>
      </c>
      <c r="R513">
        <v>2751.8399999999997</v>
      </c>
      <c r="S513">
        <v>2769.12</v>
      </c>
      <c r="T513">
        <v>2786.4</v>
      </c>
      <c r="U513">
        <v>2820.16</v>
      </c>
      <c r="V513">
        <v>2828.6</v>
      </c>
      <c r="W513">
        <v>2853.68</v>
      </c>
      <c r="X513">
        <v>2870.4</v>
      </c>
      <c r="Y513">
        <v>2887</v>
      </c>
      <c r="Z513">
        <v>2911.9</v>
      </c>
      <c r="AA513">
        <v>2920.2000000000003</v>
      </c>
      <c r="AB513">
        <v>2953.4</v>
      </c>
      <c r="AC513">
        <v>2994.9</v>
      </c>
      <c r="AD513">
        <v>3036.7</v>
      </c>
      <c r="AE513">
        <v>3078.7</v>
      </c>
      <c r="AF513">
        <v>3121.1</v>
      </c>
      <c r="AG513">
        <v>3163.95</v>
      </c>
      <c r="AH513">
        <v>3206.8</v>
      </c>
      <c r="AI513">
        <v>3250.3500000000004</v>
      </c>
      <c r="AJ513">
        <v>3293.9</v>
      </c>
      <c r="AK513">
        <v>3338.3</v>
      </c>
      <c r="AL513">
        <v>3382.7</v>
      </c>
    </row>
    <row r="514" spans="1:38" x14ac:dyDescent="0.3">
      <c r="A514">
        <v>1400</v>
      </c>
      <c r="B514">
        <v>195.04</v>
      </c>
      <c r="C514" t="s">
        <v>19</v>
      </c>
      <c r="D514">
        <v>830.07399999999996</v>
      </c>
      <c r="E514">
        <v>2787.8</v>
      </c>
      <c r="F514" t="s">
        <v>21</v>
      </c>
      <c r="G514" t="s">
        <v>21</v>
      </c>
      <c r="H514" t="s">
        <v>21</v>
      </c>
      <c r="I514" t="s">
        <v>21</v>
      </c>
      <c r="J514" t="s">
        <v>21</v>
      </c>
      <c r="K514">
        <v>2801.4</v>
      </c>
      <c r="L514">
        <v>2853.64</v>
      </c>
      <c r="M514">
        <v>2866.7</v>
      </c>
      <c r="N514">
        <v>2903.24</v>
      </c>
      <c r="O514">
        <v>2927.6</v>
      </c>
      <c r="P514">
        <v>2950.7599999999998</v>
      </c>
      <c r="Q514">
        <v>2985.5</v>
      </c>
      <c r="R514">
        <v>2990.72</v>
      </c>
      <c r="S514">
        <v>3001.16</v>
      </c>
      <c r="T514">
        <v>3011.6</v>
      </c>
      <c r="U514">
        <v>3079.52</v>
      </c>
      <c r="V514">
        <v>3096.5</v>
      </c>
      <c r="W514">
        <v>3129.02</v>
      </c>
      <c r="X514">
        <v>3150.7</v>
      </c>
      <c r="Y514">
        <v>3172.22</v>
      </c>
      <c r="Z514">
        <v>3204.5</v>
      </c>
      <c r="AA514">
        <v>3215.24</v>
      </c>
      <c r="AB514">
        <v>3258.2</v>
      </c>
      <c r="AC514">
        <v>3311.8</v>
      </c>
      <c r="AD514">
        <v>3365.6</v>
      </c>
      <c r="AE514">
        <v>3419.6</v>
      </c>
      <c r="AF514">
        <v>3473.9</v>
      </c>
      <c r="AG514">
        <v>3528.6000000000004</v>
      </c>
      <c r="AH514">
        <v>3583.3</v>
      </c>
      <c r="AI514">
        <v>3638.7</v>
      </c>
      <c r="AJ514">
        <v>3694.1</v>
      </c>
      <c r="AK514">
        <v>3750.25</v>
      </c>
      <c r="AL514">
        <v>3806.4</v>
      </c>
    </row>
    <row r="515" spans="1:38" x14ac:dyDescent="0.3">
      <c r="A515">
        <v>1400</v>
      </c>
      <c r="B515">
        <v>195.04</v>
      </c>
      <c r="C515" t="s">
        <v>20</v>
      </c>
      <c r="D515">
        <v>2.2837000000000001</v>
      </c>
      <c r="E515">
        <v>6.4650999999999996</v>
      </c>
      <c r="F515" t="s">
        <v>21</v>
      </c>
      <c r="G515" t="s">
        <v>21</v>
      </c>
      <c r="H515" t="s">
        <v>21</v>
      </c>
      <c r="I515" t="s">
        <v>21</v>
      </c>
      <c r="J515" t="s">
        <v>21</v>
      </c>
      <c r="K515">
        <v>6.4941000000000004</v>
      </c>
      <c r="L515">
        <v>6.6016199999999996</v>
      </c>
      <c r="M515">
        <v>6.6284999999999998</v>
      </c>
      <c r="N515">
        <v>6.7000200000000003</v>
      </c>
      <c r="O515">
        <v>6.7477</v>
      </c>
      <c r="P515">
        <v>6.7910199999999996</v>
      </c>
      <c r="Q515">
        <v>6.8559999999999999</v>
      </c>
      <c r="R515">
        <v>6.8760199999999996</v>
      </c>
      <c r="S515">
        <v>6.9160599999999999</v>
      </c>
      <c r="T515">
        <v>6.9561000000000002</v>
      </c>
      <c r="U515">
        <v>7.0311399999999997</v>
      </c>
      <c r="V515">
        <v>7.0499000000000001</v>
      </c>
      <c r="W515">
        <v>7.1031200000000005</v>
      </c>
      <c r="X515">
        <v>7.1386000000000003</v>
      </c>
      <c r="Y515">
        <v>7.1724800000000002</v>
      </c>
      <c r="Z515">
        <v>7.2233000000000001</v>
      </c>
      <c r="AA515">
        <v>7.2395399999999999</v>
      </c>
      <c r="AB515">
        <v>7.3045</v>
      </c>
      <c r="AC515">
        <v>7.3827999999999996</v>
      </c>
      <c r="AD515">
        <v>7.4584999999999999</v>
      </c>
      <c r="AE515">
        <v>7.5319000000000003</v>
      </c>
      <c r="AF515">
        <v>7.6032000000000002</v>
      </c>
      <c r="AG515">
        <v>7.6718000000000002</v>
      </c>
      <c r="AH515">
        <v>7.7404000000000002</v>
      </c>
      <c r="AI515">
        <v>7.8056999999999999</v>
      </c>
      <c r="AJ515">
        <v>7.8710000000000004</v>
      </c>
      <c r="AK515">
        <v>7.9335500000000003</v>
      </c>
      <c r="AL515">
        <v>7.9961000000000002</v>
      </c>
    </row>
    <row r="516" spans="1:38" x14ac:dyDescent="0.3">
      <c r="A516">
        <v>1450</v>
      </c>
      <c r="B516">
        <v>196.69</v>
      </c>
      <c r="C516" t="s">
        <v>0</v>
      </c>
      <c r="D516">
        <v>1.151</v>
      </c>
      <c r="E516">
        <v>136.04</v>
      </c>
      <c r="F516" t="s">
        <v>21</v>
      </c>
      <c r="G516" t="s">
        <v>21</v>
      </c>
      <c r="H516" t="s">
        <v>21</v>
      </c>
      <c r="I516" t="s">
        <v>21</v>
      </c>
      <c r="J516" t="s">
        <v>21</v>
      </c>
      <c r="K516">
        <v>137.47999999999999</v>
      </c>
      <c r="L516">
        <v>145.78400000000002</v>
      </c>
      <c r="M516">
        <v>147.86000000000001</v>
      </c>
      <c r="N516">
        <v>153.68600000000001</v>
      </c>
      <c r="O516">
        <v>157.57</v>
      </c>
      <c r="P516">
        <v>161.274</v>
      </c>
      <c r="Q516">
        <v>166.83</v>
      </c>
      <c r="R516">
        <v>168.62200000000001</v>
      </c>
      <c r="S516">
        <v>172.20600000000002</v>
      </c>
      <c r="T516">
        <v>175.79</v>
      </c>
      <c r="U516">
        <v>182.79</v>
      </c>
      <c r="V516">
        <v>184.54</v>
      </c>
      <c r="W516">
        <v>189.70599999999999</v>
      </c>
      <c r="X516">
        <v>193.15</v>
      </c>
      <c r="Y516">
        <v>196.55</v>
      </c>
      <c r="Z516">
        <v>201.65</v>
      </c>
      <c r="AA516">
        <v>203.33199999999999</v>
      </c>
      <c r="AB516">
        <v>210.06</v>
      </c>
      <c r="AC516">
        <v>218.42</v>
      </c>
      <c r="AD516">
        <v>226.72</v>
      </c>
      <c r="AE516">
        <v>234.99</v>
      </c>
      <c r="AF516">
        <v>243.23</v>
      </c>
      <c r="AG516">
        <v>251.42500000000001</v>
      </c>
      <c r="AH516">
        <v>259.62</v>
      </c>
      <c r="AI516">
        <v>267.77499999999998</v>
      </c>
      <c r="AJ516">
        <v>275.93</v>
      </c>
      <c r="AK516">
        <v>284.04500000000002</v>
      </c>
      <c r="AL516">
        <v>292.16000000000003</v>
      </c>
    </row>
    <row r="517" spans="1:38" x14ac:dyDescent="0.3">
      <c r="A517">
        <v>1450</v>
      </c>
      <c r="B517">
        <v>196.69</v>
      </c>
      <c r="C517" t="s">
        <v>18</v>
      </c>
      <c r="D517">
        <v>835.79100000000005</v>
      </c>
      <c r="E517">
        <v>2591.6</v>
      </c>
      <c r="F517" t="s">
        <v>21</v>
      </c>
      <c r="G517" t="s">
        <v>21</v>
      </c>
      <c r="H517" t="s">
        <v>21</v>
      </c>
      <c r="I517" t="s">
        <v>21</v>
      </c>
      <c r="J517" t="s">
        <v>21</v>
      </c>
      <c r="K517">
        <v>2598.6999999999998</v>
      </c>
      <c r="L517">
        <v>2639.5</v>
      </c>
      <c r="M517">
        <v>2649.7</v>
      </c>
      <c r="N517">
        <v>2678.14</v>
      </c>
      <c r="O517">
        <v>2697.1</v>
      </c>
      <c r="P517">
        <v>2715.06</v>
      </c>
      <c r="Q517">
        <v>2742</v>
      </c>
      <c r="R517">
        <v>2750.68</v>
      </c>
      <c r="S517">
        <v>2768.04</v>
      </c>
      <c r="T517">
        <v>2785.4</v>
      </c>
      <c r="U517">
        <v>2819.32</v>
      </c>
      <c r="V517">
        <v>2827.8</v>
      </c>
      <c r="W517">
        <v>2852.94</v>
      </c>
      <c r="X517">
        <v>2869.7</v>
      </c>
      <c r="Y517">
        <v>2886.34</v>
      </c>
      <c r="Z517">
        <v>2911.3</v>
      </c>
      <c r="AA517">
        <v>2919.6000000000004</v>
      </c>
      <c r="AB517">
        <v>2952.8</v>
      </c>
      <c r="AC517">
        <v>2994.4</v>
      </c>
      <c r="AD517">
        <v>3036.2</v>
      </c>
      <c r="AE517">
        <v>3078.3</v>
      </c>
      <c r="AF517">
        <v>3120.7</v>
      </c>
      <c r="AG517">
        <v>3163.55</v>
      </c>
      <c r="AH517">
        <v>3206.4</v>
      </c>
      <c r="AI517">
        <v>3250</v>
      </c>
      <c r="AJ517">
        <v>3293.6</v>
      </c>
      <c r="AK517">
        <v>3338</v>
      </c>
      <c r="AL517">
        <v>3382.4</v>
      </c>
    </row>
    <row r="518" spans="1:38" x14ac:dyDescent="0.3">
      <c r="A518">
        <v>1450</v>
      </c>
      <c r="B518">
        <v>196.69</v>
      </c>
      <c r="C518" t="s">
        <v>19</v>
      </c>
      <c r="D518">
        <v>837.46</v>
      </c>
      <c r="E518">
        <v>2788.9</v>
      </c>
      <c r="F518" t="s">
        <v>21</v>
      </c>
      <c r="G518" t="s">
        <v>21</v>
      </c>
      <c r="H518" t="s">
        <v>21</v>
      </c>
      <c r="I518" t="s">
        <v>21</v>
      </c>
      <c r="J518" t="s">
        <v>21</v>
      </c>
      <c r="K518">
        <v>2798.1</v>
      </c>
      <c r="L518">
        <v>2850.9</v>
      </c>
      <c r="M518">
        <v>2864.1</v>
      </c>
      <c r="N518">
        <v>2900.94</v>
      </c>
      <c r="O518">
        <v>2925.5</v>
      </c>
      <c r="P518">
        <v>2948.86</v>
      </c>
      <c r="Q518">
        <v>2983.9</v>
      </c>
      <c r="R518">
        <v>2995.1800000000003</v>
      </c>
      <c r="S518">
        <v>3017.7400000000002</v>
      </c>
      <c r="T518">
        <v>3040.3</v>
      </c>
      <c r="U518">
        <v>3084.38</v>
      </c>
      <c r="V518">
        <v>3095.4</v>
      </c>
      <c r="W518">
        <v>3127.98</v>
      </c>
      <c r="X518">
        <v>3149.7</v>
      </c>
      <c r="Y518">
        <v>3171.2599999999998</v>
      </c>
      <c r="Z518">
        <v>3203.6</v>
      </c>
      <c r="AA518">
        <v>3214.36</v>
      </c>
      <c r="AB518">
        <v>3257.4</v>
      </c>
      <c r="AC518">
        <v>3311.1</v>
      </c>
      <c r="AD518">
        <v>3365</v>
      </c>
      <c r="AE518">
        <v>3419</v>
      </c>
      <c r="AF518">
        <v>3473.3</v>
      </c>
      <c r="AG518">
        <v>3528.1000000000004</v>
      </c>
      <c r="AH518">
        <v>3582.9</v>
      </c>
      <c r="AI518">
        <v>3638.3</v>
      </c>
      <c r="AJ518">
        <v>3693.7</v>
      </c>
      <c r="AK518">
        <v>3749.9</v>
      </c>
      <c r="AL518">
        <v>3806.1</v>
      </c>
    </row>
    <row r="519" spans="1:38" x14ac:dyDescent="0.3">
      <c r="A519">
        <v>1450</v>
      </c>
      <c r="B519">
        <v>196.69</v>
      </c>
      <c r="C519" t="s">
        <v>20</v>
      </c>
      <c r="D519">
        <v>2.2993000000000001</v>
      </c>
      <c r="E519">
        <v>6.4526000000000003</v>
      </c>
      <c r="F519" t="s">
        <v>21</v>
      </c>
      <c r="G519" t="s">
        <v>21</v>
      </c>
      <c r="H519" t="s">
        <v>21</v>
      </c>
      <c r="I519" t="s">
        <v>21</v>
      </c>
      <c r="J519" t="s">
        <v>21</v>
      </c>
      <c r="K519">
        <v>6.4722</v>
      </c>
      <c r="L519">
        <v>6.5810000000000004</v>
      </c>
      <c r="M519">
        <v>6.6082000000000001</v>
      </c>
      <c r="N519">
        <v>6.6804399999999999</v>
      </c>
      <c r="O519">
        <v>6.7286000000000001</v>
      </c>
      <c r="P519">
        <v>6.7721999999999998</v>
      </c>
      <c r="Q519">
        <v>6.8376000000000001</v>
      </c>
      <c r="R519">
        <v>6.8577000000000004</v>
      </c>
      <c r="S519">
        <v>6.8978999999999999</v>
      </c>
      <c r="T519">
        <v>6.9381000000000004</v>
      </c>
      <c r="U519">
        <v>7.0133799999999997</v>
      </c>
      <c r="V519">
        <v>7.0321999999999996</v>
      </c>
      <c r="W519">
        <v>7.0855999999999995</v>
      </c>
      <c r="X519">
        <v>7.1212</v>
      </c>
      <c r="Y519">
        <v>7.1551600000000004</v>
      </c>
      <c r="Z519">
        <v>7.2061000000000002</v>
      </c>
      <c r="AA519">
        <v>7.2223600000000001</v>
      </c>
      <c r="AB519">
        <v>7.2873999999999999</v>
      </c>
      <c r="AC519">
        <v>7.3658000000000001</v>
      </c>
      <c r="AD519">
        <v>7.4416000000000002</v>
      </c>
      <c r="AE519">
        <v>7.5151000000000003</v>
      </c>
      <c r="AF519">
        <v>7.5865</v>
      </c>
      <c r="AG519">
        <v>7.6551</v>
      </c>
      <c r="AH519">
        <v>7.7237</v>
      </c>
      <c r="AI519">
        <v>7.7890999999999995</v>
      </c>
      <c r="AJ519">
        <v>7.8544999999999998</v>
      </c>
      <c r="AK519">
        <v>7.9170499999999997</v>
      </c>
      <c r="AL519">
        <v>7.9795999999999996</v>
      </c>
    </row>
    <row r="520" spans="1:38" x14ac:dyDescent="0.3">
      <c r="A520">
        <v>1500</v>
      </c>
      <c r="B520">
        <v>198.29</v>
      </c>
      <c r="C520" t="s">
        <v>0</v>
      </c>
      <c r="D520">
        <v>1.1539999999999999</v>
      </c>
      <c r="E520">
        <v>131.66</v>
      </c>
      <c r="F520" t="s">
        <v>21</v>
      </c>
      <c r="G520" t="s">
        <v>21</v>
      </c>
      <c r="H520" t="s">
        <v>21</v>
      </c>
      <c r="I520" t="s">
        <v>21</v>
      </c>
      <c r="J520" t="s">
        <v>21</v>
      </c>
      <c r="K520">
        <v>132.38</v>
      </c>
      <c r="L520">
        <v>140.5</v>
      </c>
      <c r="M520">
        <v>142.53</v>
      </c>
      <c r="N520">
        <v>148.20600000000002</v>
      </c>
      <c r="O520">
        <v>151.99</v>
      </c>
      <c r="P520">
        <v>155.59399999999999</v>
      </c>
      <c r="Q520">
        <v>161</v>
      </c>
      <c r="R520">
        <v>162.74</v>
      </c>
      <c r="S520">
        <v>166.22</v>
      </c>
      <c r="T520">
        <v>169.7</v>
      </c>
      <c r="U520">
        <v>176.49199999999999</v>
      </c>
      <c r="V520">
        <v>178.19</v>
      </c>
      <c r="W520">
        <v>183.19399999999999</v>
      </c>
      <c r="X520">
        <v>186.53</v>
      </c>
      <c r="Y520">
        <v>189.82599999999999</v>
      </c>
      <c r="Z520">
        <v>194.77</v>
      </c>
      <c r="AA520">
        <v>196.4</v>
      </c>
      <c r="AB520">
        <v>202.92</v>
      </c>
      <c r="AC520">
        <v>211.01</v>
      </c>
      <c r="AD520">
        <v>219.05</v>
      </c>
      <c r="AE520">
        <v>227.06</v>
      </c>
      <c r="AF520">
        <v>235.03</v>
      </c>
      <c r="AG520">
        <v>242.95999999999998</v>
      </c>
      <c r="AH520">
        <v>250.89</v>
      </c>
      <c r="AI520">
        <v>258.77499999999998</v>
      </c>
      <c r="AJ520">
        <v>266.66000000000003</v>
      </c>
      <c r="AK520">
        <v>274.51499999999999</v>
      </c>
      <c r="AL520">
        <v>282.37</v>
      </c>
    </row>
    <row r="521" spans="1:38" x14ac:dyDescent="0.3">
      <c r="A521">
        <v>1500</v>
      </c>
      <c r="B521">
        <v>198.29</v>
      </c>
      <c r="C521" t="s">
        <v>18</v>
      </c>
      <c r="D521">
        <v>842.93299999999999</v>
      </c>
      <c r="E521">
        <v>2592.4</v>
      </c>
      <c r="F521" t="s">
        <v>21</v>
      </c>
      <c r="G521" t="s">
        <v>21</v>
      </c>
      <c r="H521" t="s">
        <v>21</v>
      </c>
      <c r="I521" t="s">
        <v>21</v>
      </c>
      <c r="J521" t="s">
        <v>21</v>
      </c>
      <c r="K521">
        <v>2596.1</v>
      </c>
      <c r="L521">
        <v>2637.3799999999997</v>
      </c>
      <c r="M521">
        <v>2647.7</v>
      </c>
      <c r="N521">
        <v>2676.38</v>
      </c>
      <c r="O521">
        <v>2695.5</v>
      </c>
      <c r="P521">
        <v>2713.62</v>
      </c>
      <c r="Q521">
        <v>2740.8</v>
      </c>
      <c r="R521">
        <v>2749.52</v>
      </c>
      <c r="S521">
        <v>2766.96</v>
      </c>
      <c r="T521">
        <v>2784.4</v>
      </c>
      <c r="U521">
        <v>2818.4</v>
      </c>
      <c r="V521">
        <v>2826.9</v>
      </c>
      <c r="W521">
        <v>2852.1</v>
      </c>
      <c r="X521">
        <v>2868.9</v>
      </c>
      <c r="Y521">
        <v>2885.58</v>
      </c>
      <c r="Z521">
        <v>2910.6</v>
      </c>
      <c r="AA521">
        <v>2918.92</v>
      </c>
      <c r="AB521">
        <v>2952.2</v>
      </c>
      <c r="AC521">
        <v>2993.9</v>
      </c>
      <c r="AD521">
        <v>3035.8</v>
      </c>
      <c r="AE521">
        <v>3077.9</v>
      </c>
      <c r="AF521">
        <v>3120.3</v>
      </c>
      <c r="AG521">
        <v>3163.15</v>
      </c>
      <c r="AH521">
        <v>3206</v>
      </c>
      <c r="AI521">
        <v>3249.65</v>
      </c>
      <c r="AJ521">
        <v>3293.3</v>
      </c>
      <c r="AK521">
        <v>3337.7</v>
      </c>
      <c r="AL521">
        <v>3382.1</v>
      </c>
    </row>
    <row r="522" spans="1:38" x14ac:dyDescent="0.3">
      <c r="A522">
        <v>1500</v>
      </c>
      <c r="B522">
        <v>198.29</v>
      </c>
      <c r="C522" t="s">
        <v>19</v>
      </c>
      <c r="D522">
        <v>844.66300000000001</v>
      </c>
      <c r="E522">
        <v>2789.9</v>
      </c>
      <c r="F522" t="s">
        <v>21</v>
      </c>
      <c r="G522" t="s">
        <v>21</v>
      </c>
      <c r="H522" t="s">
        <v>21</v>
      </c>
      <c r="I522" t="s">
        <v>21</v>
      </c>
      <c r="J522" t="s">
        <v>21</v>
      </c>
      <c r="K522">
        <v>2794.7</v>
      </c>
      <c r="L522">
        <v>2848.14</v>
      </c>
      <c r="M522">
        <v>2861.5</v>
      </c>
      <c r="N522">
        <v>2898.7</v>
      </c>
      <c r="O522">
        <v>2923.5</v>
      </c>
      <c r="P522">
        <v>2947.02</v>
      </c>
      <c r="Q522">
        <v>2982.3</v>
      </c>
      <c r="R522">
        <v>2993.6200000000003</v>
      </c>
      <c r="S522">
        <v>3016.26</v>
      </c>
      <c r="T522">
        <v>3038.9</v>
      </c>
      <c r="U522">
        <v>3083.14</v>
      </c>
      <c r="V522">
        <v>3094.2</v>
      </c>
      <c r="W522">
        <v>3126.8999999999996</v>
      </c>
      <c r="X522">
        <v>3148.7</v>
      </c>
      <c r="Y522">
        <v>3170.34</v>
      </c>
      <c r="Z522">
        <v>3202.8</v>
      </c>
      <c r="AA522">
        <v>3213.56</v>
      </c>
      <c r="AB522">
        <v>3256.6</v>
      </c>
      <c r="AC522">
        <v>3310.4</v>
      </c>
      <c r="AD522">
        <v>3364.3</v>
      </c>
      <c r="AE522">
        <v>3418.4</v>
      </c>
      <c r="AF522">
        <v>3472.8</v>
      </c>
      <c r="AG522">
        <v>3527.6000000000004</v>
      </c>
      <c r="AH522">
        <v>3582.4</v>
      </c>
      <c r="AI522">
        <v>3637.8500000000004</v>
      </c>
      <c r="AJ522">
        <v>3693.3</v>
      </c>
      <c r="AK522">
        <v>3749.5</v>
      </c>
      <c r="AL522">
        <v>3805.7</v>
      </c>
    </row>
    <row r="523" spans="1:38" x14ac:dyDescent="0.3">
      <c r="A523">
        <v>1500</v>
      </c>
      <c r="B523">
        <v>198.29</v>
      </c>
      <c r="C523" t="s">
        <v>20</v>
      </c>
      <c r="D523">
        <v>2.3144999999999998</v>
      </c>
      <c r="E523">
        <v>6.4405999999999999</v>
      </c>
      <c r="F523" t="s">
        <v>21</v>
      </c>
      <c r="G523" t="s">
        <v>21</v>
      </c>
      <c r="H523" t="s">
        <v>21</v>
      </c>
      <c r="I523" t="s">
        <v>21</v>
      </c>
      <c r="J523" t="s">
        <v>21</v>
      </c>
      <c r="K523">
        <v>6.4508000000000001</v>
      </c>
      <c r="L523">
        <v>6.5609599999999997</v>
      </c>
      <c r="M523">
        <v>6.5884999999999998</v>
      </c>
      <c r="N523">
        <v>6.66134</v>
      </c>
      <c r="O523">
        <v>6.7099000000000002</v>
      </c>
      <c r="P523">
        <v>6.7537799999999999</v>
      </c>
      <c r="Q523">
        <v>6.8196000000000003</v>
      </c>
      <c r="R523">
        <v>6.8398200000000005</v>
      </c>
      <c r="S523">
        <v>6.8802599999999998</v>
      </c>
      <c r="T523">
        <v>6.9207000000000001</v>
      </c>
      <c r="U523">
        <v>6.9962999999999997</v>
      </c>
      <c r="V523">
        <v>7.0152000000000001</v>
      </c>
      <c r="W523">
        <v>7.0687199999999999</v>
      </c>
      <c r="X523">
        <v>7.1044</v>
      </c>
      <c r="Y523">
        <v>7.1383999999999999</v>
      </c>
      <c r="Z523">
        <v>7.1894</v>
      </c>
      <c r="AA523">
        <v>7.2057000000000002</v>
      </c>
      <c r="AB523">
        <v>7.2709000000000001</v>
      </c>
      <c r="AC523">
        <v>7.3494000000000002</v>
      </c>
      <c r="AD523">
        <v>7.4253</v>
      </c>
      <c r="AE523">
        <v>7.4988999999999999</v>
      </c>
      <c r="AF523">
        <v>7.5702999999999996</v>
      </c>
      <c r="AG523">
        <v>7.6389999999999993</v>
      </c>
      <c r="AH523">
        <v>7.7077</v>
      </c>
      <c r="AI523">
        <v>7.7730999999999995</v>
      </c>
      <c r="AJ523">
        <v>7.8384999999999998</v>
      </c>
      <c r="AK523">
        <v>7.9010499999999997</v>
      </c>
      <c r="AL523">
        <v>7.9635999999999996</v>
      </c>
    </row>
    <row r="524" spans="1:38" x14ac:dyDescent="0.3">
      <c r="A524">
        <v>1550</v>
      </c>
      <c r="B524">
        <v>199.85</v>
      </c>
      <c r="C524" t="s">
        <v>0</v>
      </c>
      <c r="D524">
        <v>1.1559999999999999</v>
      </c>
      <c r="E524">
        <v>127.55</v>
      </c>
      <c r="F524" t="s">
        <v>21</v>
      </c>
      <c r="G524" t="s">
        <v>21</v>
      </c>
      <c r="H524" t="s">
        <v>21</v>
      </c>
      <c r="I524" t="s">
        <v>21</v>
      </c>
      <c r="J524" t="s">
        <v>21</v>
      </c>
      <c r="K524">
        <v>127.61</v>
      </c>
      <c r="L524">
        <v>135.554</v>
      </c>
      <c r="M524">
        <v>137.54</v>
      </c>
      <c r="N524">
        <v>143.078</v>
      </c>
      <c r="O524">
        <v>146.77000000000001</v>
      </c>
      <c r="P524">
        <v>150.27799999999999</v>
      </c>
      <c r="Q524">
        <v>155.54</v>
      </c>
      <c r="R524">
        <v>157.232</v>
      </c>
      <c r="S524">
        <v>160.61599999999999</v>
      </c>
      <c r="T524">
        <v>164</v>
      </c>
      <c r="U524">
        <v>170.6</v>
      </c>
      <c r="V524">
        <v>172.25</v>
      </c>
      <c r="W524">
        <v>177.10400000000001</v>
      </c>
      <c r="X524">
        <v>180.34</v>
      </c>
      <c r="Y524">
        <v>183.536</v>
      </c>
      <c r="Z524">
        <v>188.33</v>
      </c>
      <c r="AA524">
        <v>189.91200000000001</v>
      </c>
      <c r="AB524">
        <v>196.24</v>
      </c>
      <c r="AC524">
        <v>204.08</v>
      </c>
      <c r="AD524">
        <v>211.87</v>
      </c>
      <c r="AE524">
        <v>219.63</v>
      </c>
      <c r="AF524">
        <v>227.35</v>
      </c>
      <c r="AG524">
        <v>235.035</v>
      </c>
      <c r="AH524">
        <v>242.72</v>
      </c>
      <c r="AI524">
        <v>250.36</v>
      </c>
      <c r="AJ524">
        <v>258</v>
      </c>
      <c r="AK524">
        <v>265.60500000000002</v>
      </c>
      <c r="AL524">
        <v>273.20999999999998</v>
      </c>
    </row>
    <row r="525" spans="1:38" x14ac:dyDescent="0.3">
      <c r="A525">
        <v>1550</v>
      </c>
      <c r="B525">
        <v>199.85</v>
      </c>
      <c r="C525" t="s">
        <v>18</v>
      </c>
      <c r="D525">
        <v>849.90099999999995</v>
      </c>
      <c r="E525">
        <v>2593.1999999999998</v>
      </c>
      <c r="F525" t="s">
        <v>21</v>
      </c>
      <c r="G525" t="s">
        <v>21</v>
      </c>
      <c r="H525" t="s">
        <v>21</v>
      </c>
      <c r="I525" t="s">
        <v>21</v>
      </c>
      <c r="J525" t="s">
        <v>21</v>
      </c>
      <c r="K525">
        <v>2593.5</v>
      </c>
      <c r="L525">
        <v>2635.34</v>
      </c>
      <c r="M525">
        <v>2645.8</v>
      </c>
      <c r="N525">
        <v>2674.7200000000003</v>
      </c>
      <c r="O525">
        <v>2694</v>
      </c>
      <c r="P525">
        <v>2712.2</v>
      </c>
      <c r="Q525">
        <v>2739.5</v>
      </c>
      <c r="R525">
        <v>2748.28</v>
      </c>
      <c r="S525">
        <v>2765.84</v>
      </c>
      <c r="T525">
        <v>2783.4</v>
      </c>
      <c r="U525">
        <v>2817.56</v>
      </c>
      <c r="V525">
        <v>2826.1</v>
      </c>
      <c r="W525">
        <v>2851.3599999999997</v>
      </c>
      <c r="X525">
        <v>2868.2</v>
      </c>
      <c r="Y525">
        <v>2884.92</v>
      </c>
      <c r="Z525">
        <v>2910</v>
      </c>
      <c r="AA525">
        <v>2918.34</v>
      </c>
      <c r="AB525">
        <v>2951.7</v>
      </c>
      <c r="AC525">
        <v>2993.4</v>
      </c>
      <c r="AD525">
        <v>3035.3</v>
      </c>
      <c r="AE525">
        <v>3077.4</v>
      </c>
      <c r="AF525">
        <v>3119.8</v>
      </c>
      <c r="AG525">
        <v>3162.75</v>
      </c>
      <c r="AH525">
        <v>3205.7</v>
      </c>
      <c r="AI525">
        <v>3249.35</v>
      </c>
      <c r="AJ525">
        <v>3293</v>
      </c>
      <c r="AK525">
        <v>3337.45</v>
      </c>
      <c r="AL525">
        <v>3381.9</v>
      </c>
    </row>
    <row r="526" spans="1:38" x14ac:dyDescent="0.3">
      <c r="A526">
        <v>1550</v>
      </c>
      <c r="B526">
        <v>199.85</v>
      </c>
      <c r="C526" t="s">
        <v>19</v>
      </c>
      <c r="D526">
        <v>851.69399999999996</v>
      </c>
      <c r="E526">
        <v>2790.8</v>
      </c>
      <c r="F526" t="s">
        <v>21</v>
      </c>
      <c r="G526" t="s">
        <v>21</v>
      </c>
      <c r="H526" t="s">
        <v>21</v>
      </c>
      <c r="I526" t="s">
        <v>21</v>
      </c>
      <c r="J526" t="s">
        <v>21</v>
      </c>
      <c r="K526">
        <v>2791.3</v>
      </c>
      <c r="L526">
        <v>2845.38</v>
      </c>
      <c r="M526">
        <v>2858.9</v>
      </c>
      <c r="N526">
        <v>2896.46</v>
      </c>
      <c r="O526">
        <v>2921.5</v>
      </c>
      <c r="P526">
        <v>2945.14</v>
      </c>
      <c r="Q526">
        <v>2980.6</v>
      </c>
      <c r="R526">
        <v>2992</v>
      </c>
      <c r="S526">
        <v>3014.8</v>
      </c>
      <c r="T526">
        <v>3037.6</v>
      </c>
      <c r="U526">
        <v>3082</v>
      </c>
      <c r="V526">
        <v>3093.1</v>
      </c>
      <c r="W526">
        <v>3125.8599999999997</v>
      </c>
      <c r="X526">
        <v>3147.7</v>
      </c>
      <c r="Y526">
        <v>3169.38</v>
      </c>
      <c r="Z526">
        <v>3201.9</v>
      </c>
      <c r="AA526">
        <v>3212.6800000000003</v>
      </c>
      <c r="AB526">
        <v>3255.8</v>
      </c>
      <c r="AC526">
        <v>3309.7</v>
      </c>
      <c r="AD526">
        <v>3363.7</v>
      </c>
      <c r="AE526">
        <v>3417.8</v>
      </c>
      <c r="AF526">
        <v>3472.2</v>
      </c>
      <c r="AG526">
        <v>3527.0499999999997</v>
      </c>
      <c r="AH526">
        <v>3581.9</v>
      </c>
      <c r="AI526">
        <v>3637.4</v>
      </c>
      <c r="AJ526">
        <v>3692.9</v>
      </c>
      <c r="AK526">
        <v>3749.1000000000004</v>
      </c>
      <c r="AL526">
        <v>3805.3</v>
      </c>
    </row>
    <row r="527" spans="1:38" x14ac:dyDescent="0.3">
      <c r="A527">
        <v>1550</v>
      </c>
      <c r="B527">
        <v>199.85</v>
      </c>
      <c r="C527" t="s">
        <v>20</v>
      </c>
      <c r="D527">
        <v>2.3292000000000002</v>
      </c>
      <c r="E527">
        <v>6.4288999999999996</v>
      </c>
      <c r="F527" t="s">
        <v>21</v>
      </c>
      <c r="G527" t="s">
        <v>21</v>
      </c>
      <c r="H527" t="s">
        <v>21</v>
      </c>
      <c r="I527" t="s">
        <v>21</v>
      </c>
      <c r="J527" t="s">
        <v>21</v>
      </c>
      <c r="K527">
        <v>6.4298000000000002</v>
      </c>
      <c r="L527">
        <v>6.5413200000000007</v>
      </c>
      <c r="M527">
        <v>6.5692000000000004</v>
      </c>
      <c r="N527">
        <v>6.6427000000000005</v>
      </c>
      <c r="O527">
        <v>6.6917</v>
      </c>
      <c r="P527">
        <v>6.7359</v>
      </c>
      <c r="Q527">
        <v>6.8022</v>
      </c>
      <c r="R527">
        <v>6.8225199999999999</v>
      </c>
      <c r="S527">
        <v>6.8631600000000006</v>
      </c>
      <c r="T527">
        <v>6.9038000000000004</v>
      </c>
      <c r="U527">
        <v>6.9796399999999998</v>
      </c>
      <c r="V527">
        <v>6.9985999999999997</v>
      </c>
      <c r="W527">
        <v>7.0522999999999998</v>
      </c>
      <c r="X527">
        <v>7.0880999999999998</v>
      </c>
      <c r="Y527">
        <v>7.1221800000000002</v>
      </c>
      <c r="Z527">
        <v>7.1733000000000002</v>
      </c>
      <c r="AA527">
        <v>7.1896399999999998</v>
      </c>
      <c r="AB527">
        <v>7.2549999999999999</v>
      </c>
      <c r="AC527">
        <v>7.3335999999999997</v>
      </c>
      <c r="AD527">
        <v>7.4095000000000004</v>
      </c>
      <c r="AE527">
        <v>7.4832000000000001</v>
      </c>
      <c r="AF527">
        <v>7.5547000000000004</v>
      </c>
      <c r="AG527">
        <v>7.6234000000000002</v>
      </c>
      <c r="AH527">
        <v>7.6920999999999999</v>
      </c>
      <c r="AI527">
        <v>7.7575500000000002</v>
      </c>
      <c r="AJ527">
        <v>7.8230000000000004</v>
      </c>
      <c r="AK527">
        <v>7.8856000000000002</v>
      </c>
      <c r="AL527">
        <v>7.9481999999999999</v>
      </c>
    </row>
    <row r="528" spans="1:38" x14ac:dyDescent="0.3">
      <c r="A528">
        <v>1600</v>
      </c>
      <c r="B528">
        <v>201.37</v>
      </c>
      <c r="C528" t="s">
        <v>0</v>
      </c>
      <c r="D528">
        <v>1.159</v>
      </c>
      <c r="E528">
        <v>123.69</v>
      </c>
      <c r="F528" t="s">
        <v>21</v>
      </c>
      <c r="G528" t="s">
        <v>21</v>
      </c>
      <c r="H528" t="s">
        <v>21</v>
      </c>
      <c r="I528" t="s">
        <v>21</v>
      </c>
      <c r="J528" t="s">
        <v>21</v>
      </c>
      <c r="K528" t="s">
        <v>21</v>
      </c>
      <c r="L528">
        <v>131.018</v>
      </c>
      <c r="M528">
        <v>132.85</v>
      </c>
      <c r="N528">
        <v>138.262</v>
      </c>
      <c r="O528">
        <v>141.87</v>
      </c>
      <c r="P528">
        <v>145.29</v>
      </c>
      <c r="Q528">
        <v>150.41999999999999</v>
      </c>
      <c r="R528">
        <v>152.06799999999998</v>
      </c>
      <c r="S528">
        <v>155.36399999999998</v>
      </c>
      <c r="T528">
        <v>158.66</v>
      </c>
      <c r="U528">
        <v>165.07599999999999</v>
      </c>
      <c r="V528">
        <v>166.68</v>
      </c>
      <c r="W528">
        <v>171.39599999999999</v>
      </c>
      <c r="X528">
        <v>174.54</v>
      </c>
      <c r="Y528">
        <v>177.64400000000001</v>
      </c>
      <c r="Z528">
        <v>182.3</v>
      </c>
      <c r="AA528">
        <v>183.834</v>
      </c>
      <c r="AB528">
        <v>189.97</v>
      </c>
      <c r="AC528">
        <v>197.58</v>
      </c>
      <c r="AD528">
        <v>205.15</v>
      </c>
      <c r="AE528">
        <v>212.67</v>
      </c>
      <c r="AF528">
        <v>220.16</v>
      </c>
      <c r="AG528">
        <v>227.61</v>
      </c>
      <c r="AH528">
        <v>235.06</v>
      </c>
      <c r="AI528">
        <v>242.465</v>
      </c>
      <c r="AJ528">
        <v>249.87</v>
      </c>
      <c r="AK528">
        <v>257.245</v>
      </c>
      <c r="AL528">
        <v>264.62</v>
      </c>
    </row>
    <row r="529" spans="1:38" x14ac:dyDescent="0.3">
      <c r="A529">
        <v>1600</v>
      </c>
      <c r="B529">
        <v>201.37</v>
      </c>
      <c r="C529" t="s">
        <v>18</v>
      </c>
      <c r="D529">
        <v>856.70699999999999</v>
      </c>
      <c r="E529">
        <v>2593.8000000000002</v>
      </c>
      <c r="F529" t="s">
        <v>21</v>
      </c>
      <c r="G529" t="s">
        <v>21</v>
      </c>
      <c r="H529" t="s">
        <v>21</v>
      </c>
      <c r="I529" t="s">
        <v>21</v>
      </c>
      <c r="J529" t="s">
        <v>21</v>
      </c>
      <c r="K529" t="s">
        <v>21</v>
      </c>
      <c r="L529">
        <v>2633.72</v>
      </c>
      <c r="M529">
        <v>2643.7</v>
      </c>
      <c r="N529">
        <v>2672.92</v>
      </c>
      <c r="O529">
        <v>2692.4</v>
      </c>
      <c r="P529">
        <v>2710.76</v>
      </c>
      <c r="Q529">
        <v>2738.3</v>
      </c>
      <c r="R529">
        <v>2747.1200000000003</v>
      </c>
      <c r="S529">
        <v>2764.76</v>
      </c>
      <c r="T529">
        <v>2782.4</v>
      </c>
      <c r="U529">
        <v>2816.64</v>
      </c>
      <c r="V529">
        <v>2825.2</v>
      </c>
      <c r="W529">
        <v>2850.58</v>
      </c>
      <c r="X529">
        <v>2867.5</v>
      </c>
      <c r="Y529">
        <v>2884.2200000000003</v>
      </c>
      <c r="Z529">
        <v>2909.3</v>
      </c>
      <c r="AA529">
        <v>2917.6600000000003</v>
      </c>
      <c r="AB529">
        <v>2951.1</v>
      </c>
      <c r="AC529">
        <v>2992.9</v>
      </c>
      <c r="AD529">
        <v>3034.8</v>
      </c>
      <c r="AE529">
        <v>3077</v>
      </c>
      <c r="AF529">
        <v>3119.4</v>
      </c>
      <c r="AG529">
        <v>3162.3500000000004</v>
      </c>
      <c r="AH529">
        <v>3205.3</v>
      </c>
      <c r="AI529">
        <v>3249</v>
      </c>
      <c r="AJ529">
        <v>3292.7</v>
      </c>
      <c r="AK529">
        <v>3337.1499999999996</v>
      </c>
      <c r="AL529">
        <v>3381.6</v>
      </c>
    </row>
    <row r="530" spans="1:38" x14ac:dyDescent="0.3">
      <c r="A530">
        <v>1600</v>
      </c>
      <c r="B530">
        <v>201.37</v>
      </c>
      <c r="C530" t="s">
        <v>19</v>
      </c>
      <c r="D530">
        <v>858.56100000000004</v>
      </c>
      <c r="E530">
        <v>2791.7</v>
      </c>
      <c r="F530" t="s">
        <v>21</v>
      </c>
      <c r="G530" t="s">
        <v>21</v>
      </c>
      <c r="H530" t="s">
        <v>21</v>
      </c>
      <c r="I530" t="s">
        <v>21</v>
      </c>
      <c r="J530" t="s">
        <v>21</v>
      </c>
      <c r="K530" t="s">
        <v>21</v>
      </c>
      <c r="L530">
        <v>2843.38</v>
      </c>
      <c r="M530">
        <v>2856.3</v>
      </c>
      <c r="N530">
        <v>2894.1600000000003</v>
      </c>
      <c r="O530">
        <v>2919.4</v>
      </c>
      <c r="P530">
        <v>2943.2400000000002</v>
      </c>
      <c r="Q530">
        <v>2979</v>
      </c>
      <c r="R530">
        <v>2990.44</v>
      </c>
      <c r="S530">
        <v>3013.3199999999997</v>
      </c>
      <c r="T530">
        <v>3036.2</v>
      </c>
      <c r="U530">
        <v>3080.76</v>
      </c>
      <c r="V530">
        <v>3091.9</v>
      </c>
      <c r="W530">
        <v>3124.7799999999997</v>
      </c>
      <c r="X530">
        <v>3146.7</v>
      </c>
      <c r="Y530">
        <v>3168.42</v>
      </c>
      <c r="Z530">
        <v>3201</v>
      </c>
      <c r="AA530">
        <v>3211.8</v>
      </c>
      <c r="AB530">
        <v>3255</v>
      </c>
      <c r="AC530">
        <v>3309</v>
      </c>
      <c r="AD530">
        <v>3363</v>
      </c>
      <c r="AE530">
        <v>3417.2</v>
      </c>
      <c r="AF530">
        <v>3471.7</v>
      </c>
      <c r="AG530">
        <v>3526.5499999999997</v>
      </c>
      <c r="AH530">
        <v>3581.4</v>
      </c>
      <c r="AI530">
        <v>3636.95</v>
      </c>
      <c r="AJ530">
        <v>3692.5</v>
      </c>
      <c r="AK530">
        <v>3748.75</v>
      </c>
      <c r="AL530">
        <v>3805</v>
      </c>
    </row>
    <row r="531" spans="1:38" x14ac:dyDescent="0.3">
      <c r="A531">
        <v>1600</v>
      </c>
      <c r="B531">
        <v>201.37</v>
      </c>
      <c r="C531" t="s">
        <v>20</v>
      </c>
      <c r="D531">
        <v>2.3435999999999999</v>
      </c>
      <c r="E531">
        <v>6.4175000000000004</v>
      </c>
      <c r="F531" t="s">
        <v>21</v>
      </c>
      <c r="G531" t="s">
        <v>21</v>
      </c>
      <c r="H531" t="s">
        <v>21</v>
      </c>
      <c r="I531" t="s">
        <v>21</v>
      </c>
      <c r="J531" t="s">
        <v>21</v>
      </c>
      <c r="K531" t="s">
        <v>21</v>
      </c>
      <c r="L531">
        <v>6.5237400000000001</v>
      </c>
      <c r="M531">
        <v>6.5503</v>
      </c>
      <c r="N531">
        <v>6.6245200000000004</v>
      </c>
      <c r="O531">
        <v>6.6740000000000004</v>
      </c>
      <c r="P531">
        <v>6.7184800000000005</v>
      </c>
      <c r="Q531">
        <v>6.7851999999999997</v>
      </c>
      <c r="R531">
        <v>6.8056199999999993</v>
      </c>
      <c r="S531">
        <v>6.8464599999999995</v>
      </c>
      <c r="T531">
        <v>6.8872999999999998</v>
      </c>
      <c r="U531">
        <v>6.9634599999999995</v>
      </c>
      <c r="V531">
        <v>6.9824999999999999</v>
      </c>
      <c r="W531">
        <v>7.0363800000000003</v>
      </c>
      <c r="X531">
        <v>7.0723000000000003</v>
      </c>
      <c r="Y531">
        <v>7.1064600000000002</v>
      </c>
      <c r="Z531">
        <v>7.1577000000000002</v>
      </c>
      <c r="AA531">
        <v>7.1740399999999998</v>
      </c>
      <c r="AB531">
        <v>7.2393999999999998</v>
      </c>
      <c r="AC531">
        <v>7.3182</v>
      </c>
      <c r="AD531">
        <v>7.3941999999999997</v>
      </c>
      <c r="AE531">
        <v>7.4679000000000002</v>
      </c>
      <c r="AF531">
        <v>7.5395000000000003</v>
      </c>
      <c r="AG531">
        <v>7.60825</v>
      </c>
      <c r="AH531">
        <v>7.6769999999999996</v>
      </c>
      <c r="AI531">
        <v>7.7424999999999997</v>
      </c>
      <c r="AJ531">
        <v>7.8079999999999998</v>
      </c>
      <c r="AK531">
        <v>7.8706499999999995</v>
      </c>
      <c r="AL531">
        <v>7.9333</v>
      </c>
    </row>
    <row r="532" spans="1:38" x14ac:dyDescent="0.3">
      <c r="A532">
        <v>1650</v>
      </c>
      <c r="B532">
        <v>202.86</v>
      </c>
      <c r="C532" t="s">
        <v>0</v>
      </c>
      <c r="D532">
        <v>1.161</v>
      </c>
      <c r="E532">
        <v>120.05</v>
      </c>
      <c r="F532" t="s">
        <v>21</v>
      </c>
      <c r="G532" t="s">
        <v>21</v>
      </c>
      <c r="H532" t="s">
        <v>21</v>
      </c>
      <c r="I532" t="s">
        <v>21</v>
      </c>
      <c r="J532" t="s">
        <v>21</v>
      </c>
      <c r="K532" t="s">
        <v>21</v>
      </c>
      <c r="L532">
        <v>126.77</v>
      </c>
      <c r="M532">
        <v>128.44999999999999</v>
      </c>
      <c r="N532">
        <v>133.74199999999999</v>
      </c>
      <c r="O532">
        <v>137.27000000000001</v>
      </c>
      <c r="P532">
        <v>140.60600000000002</v>
      </c>
      <c r="Q532">
        <v>145.61000000000001</v>
      </c>
      <c r="R532">
        <v>147.21600000000001</v>
      </c>
      <c r="S532">
        <v>150.428</v>
      </c>
      <c r="T532">
        <v>153.63999999999999</v>
      </c>
      <c r="U532">
        <v>159.88</v>
      </c>
      <c r="V532">
        <v>161.44</v>
      </c>
      <c r="W532">
        <v>166.03</v>
      </c>
      <c r="X532">
        <v>169.09</v>
      </c>
      <c r="Y532">
        <v>172.10599999999999</v>
      </c>
      <c r="Z532">
        <v>176.63</v>
      </c>
      <c r="AA532">
        <v>178.12199999999999</v>
      </c>
      <c r="AB532">
        <v>184.09</v>
      </c>
      <c r="AC532">
        <v>191.48</v>
      </c>
      <c r="AD532">
        <v>198.82</v>
      </c>
      <c r="AE532">
        <v>206.13</v>
      </c>
      <c r="AF532">
        <v>213.4</v>
      </c>
      <c r="AG532">
        <v>220.63000000000002</v>
      </c>
      <c r="AH532">
        <v>227.86</v>
      </c>
      <c r="AI532">
        <v>235.05</v>
      </c>
      <c r="AJ532">
        <v>242.24</v>
      </c>
      <c r="AK532">
        <v>249.39500000000001</v>
      </c>
      <c r="AL532">
        <v>256.55</v>
      </c>
    </row>
    <row r="533" spans="1:38" x14ac:dyDescent="0.3">
      <c r="A533">
        <v>1650</v>
      </c>
      <c r="B533">
        <v>202.86</v>
      </c>
      <c r="C533" t="s">
        <v>18</v>
      </c>
      <c r="D533">
        <v>863.35900000000004</v>
      </c>
      <c r="E533">
        <v>2594.5</v>
      </c>
      <c r="F533" t="s">
        <v>21</v>
      </c>
      <c r="G533" t="s">
        <v>21</v>
      </c>
      <c r="H533" t="s">
        <v>21</v>
      </c>
      <c r="I533" t="s">
        <v>21</v>
      </c>
      <c r="J533" t="s">
        <v>21</v>
      </c>
      <c r="K533" t="s">
        <v>21</v>
      </c>
      <c r="L533">
        <v>2632.2599999999998</v>
      </c>
      <c r="M533">
        <v>2641.7</v>
      </c>
      <c r="N533">
        <v>2671.22</v>
      </c>
      <c r="O533">
        <v>2690.9</v>
      </c>
      <c r="P533">
        <v>2709.38</v>
      </c>
      <c r="Q533">
        <v>2737.1</v>
      </c>
      <c r="R533">
        <v>2745.94</v>
      </c>
      <c r="S533">
        <v>2763.62</v>
      </c>
      <c r="T533">
        <v>2781.3</v>
      </c>
      <c r="U533">
        <v>2815.78</v>
      </c>
      <c r="V533">
        <v>2824.4</v>
      </c>
      <c r="W533">
        <v>2849.7799999999997</v>
      </c>
      <c r="X533">
        <v>2866.7</v>
      </c>
      <c r="Y533">
        <v>2883.5</v>
      </c>
      <c r="Z533">
        <v>2908.7</v>
      </c>
      <c r="AA533">
        <v>2917.06</v>
      </c>
      <c r="AB533">
        <v>2950.5</v>
      </c>
      <c r="AC533">
        <v>2992.3</v>
      </c>
      <c r="AD533">
        <v>3034.3</v>
      </c>
      <c r="AE533">
        <v>3076.5</v>
      </c>
      <c r="AF533">
        <v>3119</v>
      </c>
      <c r="AG533">
        <v>3162</v>
      </c>
      <c r="AH533">
        <v>3205</v>
      </c>
      <c r="AI533">
        <v>3248.7</v>
      </c>
      <c r="AJ533">
        <v>3292.4</v>
      </c>
      <c r="AK533">
        <v>3336.8500000000004</v>
      </c>
      <c r="AL533">
        <v>3381.3</v>
      </c>
    </row>
    <row r="534" spans="1:38" x14ac:dyDescent="0.3">
      <c r="A534">
        <v>1650</v>
      </c>
      <c r="B534">
        <v>202.86</v>
      </c>
      <c r="C534" t="s">
        <v>19</v>
      </c>
      <c r="D534">
        <v>865.27499999999998</v>
      </c>
      <c r="E534">
        <v>2792.6</v>
      </c>
      <c r="F534" t="s">
        <v>21</v>
      </c>
      <c r="G534" t="s">
        <v>21</v>
      </c>
      <c r="H534" t="s">
        <v>21</v>
      </c>
      <c r="I534" t="s">
        <v>21</v>
      </c>
      <c r="J534" t="s">
        <v>21</v>
      </c>
      <c r="K534" t="s">
        <v>21</v>
      </c>
      <c r="L534">
        <v>2841.4</v>
      </c>
      <c r="M534">
        <v>2853.6</v>
      </c>
      <c r="N534">
        <v>2891.88</v>
      </c>
      <c r="O534">
        <v>2917.4</v>
      </c>
      <c r="P534">
        <v>2941.36</v>
      </c>
      <c r="Q534">
        <v>2977.3</v>
      </c>
      <c r="R534">
        <v>2988.8</v>
      </c>
      <c r="S534">
        <v>3011.8</v>
      </c>
      <c r="T534">
        <v>3034.8</v>
      </c>
      <c r="U534">
        <v>3079.6000000000004</v>
      </c>
      <c r="V534">
        <v>3090.8</v>
      </c>
      <c r="W534">
        <v>3123.74</v>
      </c>
      <c r="X534">
        <v>3145.7</v>
      </c>
      <c r="Y534">
        <v>3167.46</v>
      </c>
      <c r="Z534">
        <v>3200.1</v>
      </c>
      <c r="AA534">
        <v>3210.92</v>
      </c>
      <c r="AB534">
        <v>3254.2</v>
      </c>
      <c r="AC534">
        <v>3308.3</v>
      </c>
      <c r="AD534">
        <v>3362.4</v>
      </c>
      <c r="AE534">
        <v>3416.7</v>
      </c>
      <c r="AF534">
        <v>3471.1</v>
      </c>
      <c r="AG534">
        <v>3526.05</v>
      </c>
      <c r="AH534">
        <v>3581</v>
      </c>
      <c r="AI534">
        <v>3636.55</v>
      </c>
      <c r="AJ534">
        <v>3692.1</v>
      </c>
      <c r="AK534">
        <v>3748.35</v>
      </c>
      <c r="AL534">
        <v>3804.6</v>
      </c>
    </row>
    <row r="535" spans="1:38" x14ac:dyDescent="0.3">
      <c r="A535">
        <v>1650</v>
      </c>
      <c r="B535">
        <v>202.86</v>
      </c>
      <c r="C535" t="s">
        <v>20</v>
      </c>
      <c r="D535">
        <v>2.3576000000000001</v>
      </c>
      <c r="E535">
        <v>6.4065000000000003</v>
      </c>
      <c r="F535" t="s">
        <v>21</v>
      </c>
      <c r="G535" t="s">
        <v>21</v>
      </c>
      <c r="H535" t="s">
        <v>21</v>
      </c>
      <c r="I535" t="s">
        <v>21</v>
      </c>
      <c r="J535" t="s">
        <v>21</v>
      </c>
      <c r="K535" t="s">
        <v>21</v>
      </c>
      <c r="L535">
        <v>6.5068200000000003</v>
      </c>
      <c r="M535">
        <v>6.5319000000000003</v>
      </c>
      <c r="N535">
        <v>6.6067799999999997</v>
      </c>
      <c r="O535">
        <v>6.6566999999999998</v>
      </c>
      <c r="P535">
        <v>6.7015000000000002</v>
      </c>
      <c r="Q535">
        <v>6.7686999999999999</v>
      </c>
      <c r="R535">
        <v>6.7892200000000003</v>
      </c>
      <c r="S535">
        <v>6.83026</v>
      </c>
      <c r="T535">
        <v>6.8712999999999997</v>
      </c>
      <c r="U535">
        <v>6.9477799999999998</v>
      </c>
      <c r="V535">
        <v>6.9668999999999999</v>
      </c>
      <c r="W535">
        <v>7.0209000000000001</v>
      </c>
      <c r="X535">
        <v>7.0568999999999997</v>
      </c>
      <c r="Y535">
        <v>7.0911400000000002</v>
      </c>
      <c r="Z535">
        <v>7.1425000000000001</v>
      </c>
      <c r="AA535">
        <v>7.1588799999999999</v>
      </c>
      <c r="AB535">
        <v>7.2244000000000002</v>
      </c>
      <c r="AC535">
        <v>7.3032000000000004</v>
      </c>
      <c r="AD535">
        <v>7.3794000000000004</v>
      </c>
      <c r="AE535">
        <v>7.4531000000000001</v>
      </c>
      <c r="AF535">
        <v>7.5247999999999999</v>
      </c>
      <c r="AG535">
        <v>7.5936000000000003</v>
      </c>
      <c r="AH535">
        <v>7.6623999999999999</v>
      </c>
      <c r="AI535">
        <v>7.7279</v>
      </c>
      <c r="AJ535">
        <v>7.7934000000000001</v>
      </c>
      <c r="AK535">
        <v>7.8560999999999996</v>
      </c>
      <c r="AL535">
        <v>7.9188000000000001</v>
      </c>
    </row>
    <row r="536" spans="1:38" x14ac:dyDescent="0.3">
      <c r="A536">
        <v>1700</v>
      </c>
      <c r="B536">
        <v>204.31</v>
      </c>
      <c r="C536" t="s">
        <v>0</v>
      </c>
      <c r="D536">
        <v>1.163</v>
      </c>
      <c r="E536">
        <v>116.62</v>
      </c>
      <c r="F536" t="s">
        <v>21</v>
      </c>
      <c r="G536" t="s">
        <v>21</v>
      </c>
      <c r="H536" t="s">
        <v>21</v>
      </c>
      <c r="I536" t="s">
        <v>21</v>
      </c>
      <c r="J536" t="s">
        <v>21</v>
      </c>
      <c r="K536" t="s">
        <v>21</v>
      </c>
      <c r="L536">
        <v>122.77200000000001</v>
      </c>
      <c r="M536">
        <v>124.31</v>
      </c>
      <c r="N536">
        <v>129.488</v>
      </c>
      <c r="O536">
        <v>132.94</v>
      </c>
      <c r="P536">
        <v>136.19999999999999</v>
      </c>
      <c r="Q536">
        <v>141.09</v>
      </c>
      <c r="R536">
        <v>142.654</v>
      </c>
      <c r="S536">
        <v>145.78199999999998</v>
      </c>
      <c r="T536">
        <v>148.91</v>
      </c>
      <c r="U536">
        <v>154.98999999999998</v>
      </c>
      <c r="V536">
        <v>156.51</v>
      </c>
      <c r="W536">
        <v>160.97999999999999</v>
      </c>
      <c r="X536">
        <v>163.96</v>
      </c>
      <c r="Y536">
        <v>166.89600000000002</v>
      </c>
      <c r="Z536">
        <v>171.3</v>
      </c>
      <c r="AA536">
        <v>172.75</v>
      </c>
      <c r="AB536">
        <v>178.55</v>
      </c>
      <c r="AC536">
        <v>185.74</v>
      </c>
      <c r="AD536">
        <v>192.87</v>
      </c>
      <c r="AE536">
        <v>199.97</v>
      </c>
      <c r="AF536">
        <v>207.04</v>
      </c>
      <c r="AG536">
        <v>214.065</v>
      </c>
      <c r="AH536">
        <v>221.09</v>
      </c>
      <c r="AI536">
        <v>228.07499999999999</v>
      </c>
      <c r="AJ536">
        <v>235.06</v>
      </c>
      <c r="AK536">
        <v>242.01000000000002</v>
      </c>
      <c r="AL536">
        <v>248.96</v>
      </c>
    </row>
    <row r="537" spans="1:38" x14ac:dyDescent="0.3">
      <c r="A537">
        <v>1700</v>
      </c>
      <c r="B537">
        <v>204.31</v>
      </c>
      <c r="C537" t="s">
        <v>18</v>
      </c>
      <c r="D537">
        <v>869.86599999999999</v>
      </c>
      <c r="E537">
        <v>2595.1</v>
      </c>
      <c r="F537" t="s">
        <v>21</v>
      </c>
      <c r="G537" t="s">
        <v>21</v>
      </c>
      <c r="H537" t="s">
        <v>21</v>
      </c>
      <c r="I537" t="s">
        <v>21</v>
      </c>
      <c r="J537" t="s">
        <v>21</v>
      </c>
      <c r="K537" t="s">
        <v>21</v>
      </c>
      <c r="L537">
        <v>2630.7</v>
      </c>
      <c r="M537">
        <v>2639.6</v>
      </c>
      <c r="N537">
        <v>2669.42</v>
      </c>
      <c r="O537">
        <v>2689.3</v>
      </c>
      <c r="P537">
        <v>2707.9</v>
      </c>
      <c r="Q537">
        <v>2735.8</v>
      </c>
      <c r="R537">
        <v>2744.7000000000003</v>
      </c>
      <c r="S537">
        <v>2762.5</v>
      </c>
      <c r="T537">
        <v>2780.3</v>
      </c>
      <c r="U537">
        <v>2814.86</v>
      </c>
      <c r="V537">
        <v>2823.5</v>
      </c>
      <c r="W537">
        <v>2849</v>
      </c>
      <c r="X537">
        <v>2866</v>
      </c>
      <c r="Y537">
        <v>2882.8</v>
      </c>
      <c r="Z537">
        <v>2908</v>
      </c>
      <c r="AA537">
        <v>2916.38</v>
      </c>
      <c r="AB537">
        <v>2949.9</v>
      </c>
      <c r="AC537">
        <v>2991.8</v>
      </c>
      <c r="AD537">
        <v>3033.9</v>
      </c>
      <c r="AE537">
        <v>3076.1</v>
      </c>
      <c r="AF537">
        <v>3118.6</v>
      </c>
      <c r="AG537">
        <v>3161.6</v>
      </c>
      <c r="AH537">
        <v>3204.6</v>
      </c>
      <c r="AI537">
        <v>3248.35</v>
      </c>
      <c r="AJ537">
        <v>3292.1</v>
      </c>
      <c r="AK537">
        <v>3336.55</v>
      </c>
      <c r="AL537">
        <v>3381</v>
      </c>
    </row>
    <row r="538" spans="1:38" x14ac:dyDescent="0.3">
      <c r="A538">
        <v>1700</v>
      </c>
      <c r="B538">
        <v>204.31</v>
      </c>
      <c r="C538" t="s">
        <v>19</v>
      </c>
      <c r="D538">
        <v>871.84299999999996</v>
      </c>
      <c r="E538">
        <v>2793.4</v>
      </c>
      <c r="F538" t="s">
        <v>21</v>
      </c>
      <c r="G538" t="s">
        <v>21</v>
      </c>
      <c r="H538" t="s">
        <v>21</v>
      </c>
      <c r="I538" t="s">
        <v>21</v>
      </c>
      <c r="J538" t="s">
        <v>21</v>
      </c>
      <c r="K538" t="s">
        <v>21</v>
      </c>
      <c r="L538">
        <v>2839.48</v>
      </c>
      <c r="M538">
        <v>2851</v>
      </c>
      <c r="N538">
        <v>2889.58</v>
      </c>
      <c r="O538">
        <v>2915.3</v>
      </c>
      <c r="P538">
        <v>2939.42</v>
      </c>
      <c r="Q538">
        <v>2975.6</v>
      </c>
      <c r="R538">
        <v>2987.18</v>
      </c>
      <c r="S538">
        <v>3010.34</v>
      </c>
      <c r="T538">
        <v>3033.5</v>
      </c>
      <c r="U538">
        <v>3078.38</v>
      </c>
      <c r="V538">
        <v>3089.6</v>
      </c>
      <c r="W538">
        <v>3122.66</v>
      </c>
      <c r="X538">
        <v>3144.7</v>
      </c>
      <c r="Y538">
        <v>3166.5</v>
      </c>
      <c r="Z538">
        <v>3199.2</v>
      </c>
      <c r="AA538">
        <v>3210.06</v>
      </c>
      <c r="AB538">
        <v>3253.5</v>
      </c>
      <c r="AC538">
        <v>3307.6</v>
      </c>
      <c r="AD538">
        <v>3361.7</v>
      </c>
      <c r="AE538">
        <v>3416.1</v>
      </c>
      <c r="AF538">
        <v>3470.6</v>
      </c>
      <c r="AG538">
        <v>3525.55</v>
      </c>
      <c r="AH538">
        <v>3580.5</v>
      </c>
      <c r="AI538">
        <v>3636.1</v>
      </c>
      <c r="AJ538">
        <v>3691.7</v>
      </c>
      <c r="AK538">
        <v>3748</v>
      </c>
      <c r="AL538">
        <v>3804.3</v>
      </c>
    </row>
    <row r="539" spans="1:38" x14ac:dyDescent="0.3">
      <c r="A539">
        <v>1700</v>
      </c>
      <c r="B539">
        <v>204.31</v>
      </c>
      <c r="C539" t="s">
        <v>20</v>
      </c>
      <c r="D539">
        <v>2.3713000000000002</v>
      </c>
      <c r="E539">
        <v>6.3956999999999997</v>
      </c>
      <c r="F539" t="s">
        <v>21</v>
      </c>
      <c r="G539" t="s">
        <v>21</v>
      </c>
      <c r="H539" t="s">
        <v>21</v>
      </c>
      <c r="I539" t="s">
        <v>21</v>
      </c>
      <c r="J539" t="s">
        <v>21</v>
      </c>
      <c r="K539" t="s">
        <v>21</v>
      </c>
      <c r="L539">
        <v>6.4901799999999996</v>
      </c>
      <c r="M539">
        <v>6.5137999999999998</v>
      </c>
      <c r="N539">
        <v>6.5894000000000004</v>
      </c>
      <c r="O539">
        <v>6.6398000000000001</v>
      </c>
      <c r="P539">
        <v>6.68492</v>
      </c>
      <c r="Q539">
        <v>6.7526000000000002</v>
      </c>
      <c r="R539">
        <v>6.7732200000000002</v>
      </c>
      <c r="S539">
        <v>6.8144600000000004</v>
      </c>
      <c r="T539">
        <v>6.8556999999999997</v>
      </c>
      <c r="U539">
        <v>6.9324199999999996</v>
      </c>
      <c r="V539">
        <v>6.9516</v>
      </c>
      <c r="W539">
        <v>7.0057799999999997</v>
      </c>
      <c r="X539">
        <v>7.0419</v>
      </c>
      <c r="Y539">
        <v>7.0762200000000002</v>
      </c>
      <c r="Z539">
        <v>7.1276999999999999</v>
      </c>
      <c r="AA539">
        <v>7.14412</v>
      </c>
      <c r="AB539">
        <v>7.2098000000000004</v>
      </c>
      <c r="AC539">
        <v>7.2887000000000004</v>
      </c>
      <c r="AD539">
        <v>7.3648999999999996</v>
      </c>
      <c r="AE539">
        <v>7.4387999999999996</v>
      </c>
      <c r="AF539">
        <v>7.5105000000000004</v>
      </c>
      <c r="AG539">
        <v>7.5793499999999998</v>
      </c>
      <c r="AH539">
        <v>7.6482000000000001</v>
      </c>
      <c r="AI539">
        <v>7.7137500000000001</v>
      </c>
      <c r="AJ539">
        <v>7.7793000000000001</v>
      </c>
      <c r="AK539">
        <v>7.8420000000000005</v>
      </c>
      <c r="AL539">
        <v>7.9047000000000001</v>
      </c>
    </row>
    <row r="540" spans="1:38" x14ac:dyDescent="0.3">
      <c r="A540">
        <v>1750</v>
      </c>
      <c r="B540">
        <v>205.72</v>
      </c>
      <c r="C540" t="s">
        <v>0</v>
      </c>
      <c r="D540">
        <v>1.1659999999999999</v>
      </c>
      <c r="E540">
        <v>113.38</v>
      </c>
      <c r="F540" t="s">
        <v>21</v>
      </c>
      <c r="G540" t="s">
        <v>21</v>
      </c>
      <c r="H540" t="s">
        <v>21</v>
      </c>
      <c r="I540" t="s">
        <v>21</v>
      </c>
      <c r="J540" t="s">
        <v>21</v>
      </c>
      <c r="K540" t="s">
        <v>21</v>
      </c>
      <c r="L540">
        <v>118.988</v>
      </c>
      <c r="M540">
        <v>120.39</v>
      </c>
      <c r="N540">
        <v>125.46599999999999</v>
      </c>
      <c r="O540">
        <v>128.85</v>
      </c>
      <c r="P540">
        <v>132.03799999999998</v>
      </c>
      <c r="Q540">
        <v>136.82</v>
      </c>
      <c r="R540">
        <v>138.346</v>
      </c>
      <c r="S540">
        <v>141.398</v>
      </c>
      <c r="T540">
        <v>144.44999999999999</v>
      </c>
      <c r="U540">
        <v>150.386</v>
      </c>
      <c r="V540">
        <v>151.87</v>
      </c>
      <c r="W540">
        <v>156.22</v>
      </c>
      <c r="X540">
        <v>159.12</v>
      </c>
      <c r="Y540">
        <v>161.98000000000002</v>
      </c>
      <c r="Z540">
        <v>166.27</v>
      </c>
      <c r="AA540">
        <v>167.68</v>
      </c>
      <c r="AB540">
        <v>173.32</v>
      </c>
      <c r="AC540">
        <v>180.32</v>
      </c>
      <c r="AD540">
        <v>187.26</v>
      </c>
      <c r="AE540">
        <v>194.17</v>
      </c>
      <c r="AF540">
        <v>201.04</v>
      </c>
      <c r="AG540">
        <v>207.875</v>
      </c>
      <c r="AH540">
        <v>214.71</v>
      </c>
      <c r="AI540">
        <v>221.495</v>
      </c>
      <c r="AJ540">
        <v>228.28</v>
      </c>
      <c r="AK540">
        <v>235.04000000000002</v>
      </c>
      <c r="AL540">
        <v>241.8</v>
      </c>
    </row>
    <row r="541" spans="1:38" x14ac:dyDescent="0.3">
      <c r="A541">
        <v>1750</v>
      </c>
      <c r="B541">
        <v>205.72</v>
      </c>
      <c r="C541" t="s">
        <v>18</v>
      </c>
      <c r="D541">
        <v>876.23400000000004</v>
      </c>
      <c r="E541">
        <v>2595.6999999999998</v>
      </c>
      <c r="F541" t="s">
        <v>21</v>
      </c>
      <c r="G541" t="s">
        <v>21</v>
      </c>
      <c r="H541" t="s">
        <v>21</v>
      </c>
      <c r="I541" t="s">
        <v>21</v>
      </c>
      <c r="J541" t="s">
        <v>21</v>
      </c>
      <c r="K541" t="s">
        <v>21</v>
      </c>
      <c r="L541">
        <v>2629.22</v>
      </c>
      <c r="M541">
        <v>2637.6</v>
      </c>
      <c r="N541">
        <v>2667.66</v>
      </c>
      <c r="O541">
        <v>2687.7</v>
      </c>
      <c r="P541">
        <v>2706.42</v>
      </c>
      <c r="Q541">
        <v>2734.5</v>
      </c>
      <c r="R541">
        <v>2743.46</v>
      </c>
      <c r="S541">
        <v>2761.38</v>
      </c>
      <c r="T541">
        <v>2779.3</v>
      </c>
      <c r="U541">
        <v>2814.02</v>
      </c>
      <c r="V541">
        <v>2822.7</v>
      </c>
      <c r="W541">
        <v>2848.26</v>
      </c>
      <c r="X541">
        <v>2865.3</v>
      </c>
      <c r="Y541">
        <v>2882.1400000000003</v>
      </c>
      <c r="Z541">
        <v>2907.4</v>
      </c>
      <c r="AA541">
        <v>2915.78</v>
      </c>
      <c r="AB541">
        <v>2949.3</v>
      </c>
      <c r="AC541">
        <v>2991.3</v>
      </c>
      <c r="AD541">
        <v>3033.4</v>
      </c>
      <c r="AE541">
        <v>3075.7</v>
      </c>
      <c r="AF541">
        <v>3118.2</v>
      </c>
      <c r="AG541">
        <v>3161.25</v>
      </c>
      <c r="AH541">
        <v>3204.3</v>
      </c>
      <c r="AI541">
        <v>3248.05</v>
      </c>
      <c r="AJ541">
        <v>3291.8</v>
      </c>
      <c r="AK541">
        <v>3336.3</v>
      </c>
      <c r="AL541">
        <v>3380.8</v>
      </c>
    </row>
    <row r="542" spans="1:38" x14ac:dyDescent="0.3">
      <c r="A542">
        <v>1750</v>
      </c>
      <c r="B542">
        <v>205.72</v>
      </c>
      <c r="C542" t="s">
        <v>19</v>
      </c>
      <c r="D542">
        <v>878.274</v>
      </c>
      <c r="E542">
        <v>2794.1</v>
      </c>
      <c r="F542" t="s">
        <v>21</v>
      </c>
      <c r="G542" t="s">
        <v>21</v>
      </c>
      <c r="H542" t="s">
        <v>21</v>
      </c>
      <c r="I542" t="s">
        <v>21</v>
      </c>
      <c r="J542" t="s">
        <v>21</v>
      </c>
      <c r="K542" t="s">
        <v>21</v>
      </c>
      <c r="L542">
        <v>2837.3799999999997</v>
      </c>
      <c r="M542">
        <v>2848.2</v>
      </c>
      <c r="N542">
        <v>2887.2</v>
      </c>
      <c r="O542">
        <v>2913.2</v>
      </c>
      <c r="P542">
        <v>2937.52</v>
      </c>
      <c r="Q542">
        <v>2974</v>
      </c>
      <c r="R542">
        <v>2985.62</v>
      </c>
      <c r="S542">
        <v>3008.8599999999997</v>
      </c>
      <c r="T542">
        <v>3032.1</v>
      </c>
      <c r="U542">
        <v>3077.14</v>
      </c>
      <c r="V542">
        <v>3088.4</v>
      </c>
      <c r="W542">
        <v>3121.58</v>
      </c>
      <c r="X542">
        <v>3143.7</v>
      </c>
      <c r="Y542">
        <v>3165.58</v>
      </c>
      <c r="Z542">
        <v>3198.4</v>
      </c>
      <c r="AA542">
        <v>3209.26</v>
      </c>
      <c r="AB542">
        <v>3252.7</v>
      </c>
      <c r="AC542">
        <v>3306.9</v>
      </c>
      <c r="AD542">
        <v>3361.1</v>
      </c>
      <c r="AE542">
        <v>3415.5</v>
      </c>
      <c r="AF542">
        <v>3470</v>
      </c>
      <c r="AG542">
        <v>3525</v>
      </c>
      <c r="AH542">
        <v>3580</v>
      </c>
      <c r="AI542">
        <v>3635.65</v>
      </c>
      <c r="AJ542">
        <v>3691.3</v>
      </c>
      <c r="AK542">
        <v>3747.6</v>
      </c>
      <c r="AL542">
        <v>3803.9</v>
      </c>
    </row>
    <row r="543" spans="1:38" x14ac:dyDescent="0.3">
      <c r="A543">
        <v>1750</v>
      </c>
      <c r="B543">
        <v>205.72</v>
      </c>
      <c r="C543" t="s">
        <v>20</v>
      </c>
      <c r="D543">
        <v>2.3845999999999998</v>
      </c>
      <c r="E543">
        <v>6.3853</v>
      </c>
      <c r="F543" t="s">
        <v>21</v>
      </c>
      <c r="G543" t="s">
        <v>21</v>
      </c>
      <c r="H543" t="s">
        <v>21</v>
      </c>
      <c r="I543" t="s">
        <v>21</v>
      </c>
      <c r="J543" t="s">
        <v>21</v>
      </c>
      <c r="K543" t="s">
        <v>21</v>
      </c>
      <c r="L543">
        <v>6.4739399999999998</v>
      </c>
      <c r="M543">
        <v>6.4961000000000002</v>
      </c>
      <c r="N543">
        <v>6.5724200000000002</v>
      </c>
      <c r="O543">
        <v>6.6233000000000004</v>
      </c>
      <c r="P543">
        <v>6.6687000000000003</v>
      </c>
      <c r="Q543">
        <v>6.7367999999999997</v>
      </c>
      <c r="R543">
        <v>6.7575399999999997</v>
      </c>
      <c r="S543">
        <v>6.7990199999999996</v>
      </c>
      <c r="T543">
        <v>6.8404999999999996</v>
      </c>
      <c r="U543">
        <v>6.9175399999999998</v>
      </c>
      <c r="V543">
        <v>6.9367999999999999</v>
      </c>
      <c r="W543">
        <v>6.9911000000000003</v>
      </c>
      <c r="X543">
        <v>7.0273000000000003</v>
      </c>
      <c r="Y543">
        <v>7.0617000000000001</v>
      </c>
      <c r="Z543">
        <v>7.1132999999999997</v>
      </c>
      <c r="AA543">
        <v>7.12974</v>
      </c>
      <c r="AB543">
        <v>7.1955</v>
      </c>
      <c r="AC543">
        <v>7.2746000000000004</v>
      </c>
      <c r="AD543">
        <v>7.3509000000000002</v>
      </c>
      <c r="AE543">
        <v>7.4248000000000003</v>
      </c>
      <c r="AF543">
        <v>7.4965000000000002</v>
      </c>
      <c r="AG543">
        <v>7.5654500000000002</v>
      </c>
      <c r="AH543">
        <v>7.6344000000000003</v>
      </c>
      <c r="AI543">
        <v>7.7</v>
      </c>
      <c r="AJ543">
        <v>7.7656000000000001</v>
      </c>
      <c r="AK543">
        <v>7.8283000000000005</v>
      </c>
      <c r="AL543">
        <v>7.891</v>
      </c>
    </row>
    <row r="544" spans="1:38" x14ac:dyDescent="0.3">
      <c r="A544">
        <v>1800</v>
      </c>
      <c r="B544">
        <v>207.11</v>
      </c>
      <c r="C544" t="s">
        <v>0</v>
      </c>
      <c r="D544">
        <v>1.1679999999999999</v>
      </c>
      <c r="E544">
        <v>110.32</v>
      </c>
      <c r="F544" t="s">
        <v>21</v>
      </c>
      <c r="G544" t="s">
        <v>21</v>
      </c>
      <c r="H544" t="s">
        <v>21</v>
      </c>
      <c r="I544" t="s">
        <v>21</v>
      </c>
      <c r="J544" t="s">
        <v>21</v>
      </c>
      <c r="K544" t="s">
        <v>21</v>
      </c>
      <c r="L544">
        <v>115.416</v>
      </c>
      <c r="M544">
        <v>116.69</v>
      </c>
      <c r="N544">
        <v>121.67</v>
      </c>
      <c r="O544">
        <v>124.99</v>
      </c>
      <c r="P544">
        <v>128.10599999999999</v>
      </c>
      <c r="Q544">
        <v>132.78</v>
      </c>
      <c r="R544">
        <v>134.27199999999999</v>
      </c>
      <c r="S544">
        <v>137.256</v>
      </c>
      <c r="T544">
        <v>140.24</v>
      </c>
      <c r="U544">
        <v>146.03199999999998</v>
      </c>
      <c r="V544">
        <v>147.47999999999999</v>
      </c>
      <c r="W544">
        <v>151.72200000000001</v>
      </c>
      <c r="X544">
        <v>154.55000000000001</v>
      </c>
      <c r="Y544">
        <v>157.334</v>
      </c>
      <c r="Z544">
        <v>161.51</v>
      </c>
      <c r="AA544">
        <v>162.886</v>
      </c>
      <c r="AB544">
        <v>168.39</v>
      </c>
      <c r="AC544">
        <v>175.2</v>
      </c>
      <c r="AD544">
        <v>181.97</v>
      </c>
      <c r="AE544">
        <v>188.69</v>
      </c>
      <c r="AF544">
        <v>195.38</v>
      </c>
      <c r="AG544">
        <v>202.03</v>
      </c>
      <c r="AH544">
        <v>208.68</v>
      </c>
      <c r="AI544">
        <v>215.285</v>
      </c>
      <c r="AJ544">
        <v>221.89</v>
      </c>
      <c r="AK544">
        <v>228.45999999999998</v>
      </c>
      <c r="AL544">
        <v>235.03</v>
      </c>
    </row>
    <row r="545" spans="1:38" x14ac:dyDescent="0.3">
      <c r="A545">
        <v>1800</v>
      </c>
      <c r="B545">
        <v>207.11</v>
      </c>
      <c r="C545" t="s">
        <v>18</v>
      </c>
      <c r="D545">
        <v>882.47199999999998</v>
      </c>
      <c r="E545">
        <v>2596.3000000000002</v>
      </c>
      <c r="F545" t="s">
        <v>21</v>
      </c>
      <c r="G545" t="s">
        <v>21</v>
      </c>
      <c r="H545" t="s">
        <v>21</v>
      </c>
      <c r="I545" t="s">
        <v>21</v>
      </c>
      <c r="J545" t="s">
        <v>21</v>
      </c>
      <c r="K545" t="s">
        <v>21</v>
      </c>
      <c r="L545">
        <v>2627.66</v>
      </c>
      <c r="M545">
        <v>2635.5</v>
      </c>
      <c r="N545">
        <v>2665.86</v>
      </c>
      <c r="O545">
        <v>2686.1</v>
      </c>
      <c r="P545">
        <v>2704.98</v>
      </c>
      <c r="Q545">
        <v>2733.3</v>
      </c>
      <c r="R545">
        <v>2742.28</v>
      </c>
      <c r="S545">
        <v>2760.24</v>
      </c>
      <c r="T545">
        <v>2778.2</v>
      </c>
      <c r="U545">
        <v>2813.08</v>
      </c>
      <c r="V545">
        <v>2821.8</v>
      </c>
      <c r="W545">
        <v>2847.42</v>
      </c>
      <c r="X545">
        <v>2864.5</v>
      </c>
      <c r="Y545">
        <v>2881.38</v>
      </c>
      <c r="Z545">
        <v>2906.7</v>
      </c>
      <c r="AA545">
        <v>2915.12</v>
      </c>
      <c r="AB545">
        <v>2948.8</v>
      </c>
      <c r="AC545">
        <v>2990.8</v>
      </c>
      <c r="AD545">
        <v>3032.9</v>
      </c>
      <c r="AE545">
        <v>3075.2</v>
      </c>
      <c r="AF545">
        <v>3117.8</v>
      </c>
      <c r="AG545">
        <v>3160.8500000000004</v>
      </c>
      <c r="AH545">
        <v>3203.9</v>
      </c>
      <c r="AI545">
        <v>3247.7</v>
      </c>
      <c r="AJ545">
        <v>3291.5</v>
      </c>
      <c r="AK545">
        <v>3336</v>
      </c>
      <c r="AL545">
        <v>3380.5</v>
      </c>
    </row>
    <row r="546" spans="1:38" x14ac:dyDescent="0.3">
      <c r="A546">
        <v>1800</v>
      </c>
      <c r="B546">
        <v>207.11</v>
      </c>
      <c r="C546" t="s">
        <v>19</v>
      </c>
      <c r="D546">
        <v>884.57399999999996</v>
      </c>
      <c r="E546">
        <v>2794.8</v>
      </c>
      <c r="F546" t="s">
        <v>21</v>
      </c>
      <c r="G546" t="s">
        <v>21</v>
      </c>
      <c r="H546" t="s">
        <v>21</v>
      </c>
      <c r="I546" t="s">
        <v>21</v>
      </c>
      <c r="J546" t="s">
        <v>21</v>
      </c>
      <c r="K546" t="s">
        <v>21</v>
      </c>
      <c r="L546">
        <v>2835.36</v>
      </c>
      <c r="M546">
        <v>2845.5</v>
      </c>
      <c r="N546">
        <v>2884.8</v>
      </c>
      <c r="O546">
        <v>2911</v>
      </c>
      <c r="P546">
        <v>2935.52</v>
      </c>
      <c r="Q546">
        <v>2972.3</v>
      </c>
      <c r="R546">
        <v>2983.98</v>
      </c>
      <c r="S546">
        <v>3007.34</v>
      </c>
      <c r="T546">
        <v>3030.7</v>
      </c>
      <c r="U546">
        <v>3075.98</v>
      </c>
      <c r="V546">
        <v>3087.3</v>
      </c>
      <c r="W546">
        <v>3120.54</v>
      </c>
      <c r="X546">
        <v>3142.7</v>
      </c>
      <c r="Y546">
        <v>3164.62</v>
      </c>
      <c r="Z546">
        <v>3197.5</v>
      </c>
      <c r="AA546">
        <v>3208.38</v>
      </c>
      <c r="AB546">
        <v>3251.9</v>
      </c>
      <c r="AC546">
        <v>3306.1</v>
      </c>
      <c r="AD546">
        <v>3360.4</v>
      </c>
      <c r="AE546">
        <v>3414.9</v>
      </c>
      <c r="AF546">
        <v>3469.5</v>
      </c>
      <c r="AG546">
        <v>3524.5</v>
      </c>
      <c r="AH546">
        <v>3579.5</v>
      </c>
      <c r="AI546">
        <v>3635.2000000000003</v>
      </c>
      <c r="AJ546">
        <v>3690.9</v>
      </c>
      <c r="AK546">
        <v>3747.25</v>
      </c>
      <c r="AL546">
        <v>3803.6</v>
      </c>
    </row>
    <row r="547" spans="1:38" x14ac:dyDescent="0.3">
      <c r="A547">
        <v>1800</v>
      </c>
      <c r="B547">
        <v>207.11</v>
      </c>
      <c r="C547" t="s">
        <v>20</v>
      </c>
      <c r="D547">
        <v>2.3976000000000002</v>
      </c>
      <c r="E547">
        <v>6.3750999999999998</v>
      </c>
      <c r="F547" t="s">
        <v>21</v>
      </c>
      <c r="G547" t="s">
        <v>21</v>
      </c>
      <c r="H547" t="s">
        <v>21</v>
      </c>
      <c r="I547" t="s">
        <v>21</v>
      </c>
      <c r="J547" t="s">
        <v>21</v>
      </c>
      <c r="K547" t="s">
        <v>21</v>
      </c>
      <c r="L547">
        <v>6.4579800000000001</v>
      </c>
      <c r="M547">
        <v>6.4786999999999999</v>
      </c>
      <c r="N547">
        <v>6.5557400000000001</v>
      </c>
      <c r="O547">
        <v>6.6071</v>
      </c>
      <c r="P547">
        <v>6.6528200000000002</v>
      </c>
      <c r="Q547">
        <v>6.7214</v>
      </c>
      <c r="R547">
        <v>6.7422599999999999</v>
      </c>
      <c r="S547">
        <v>6.7839799999999997</v>
      </c>
      <c r="T547">
        <v>6.8257000000000003</v>
      </c>
      <c r="U547">
        <v>6.9029800000000003</v>
      </c>
      <c r="V547">
        <v>6.9222999999999999</v>
      </c>
      <c r="W547">
        <v>6.9767799999999998</v>
      </c>
      <c r="X547">
        <v>7.0130999999999997</v>
      </c>
      <c r="Y547">
        <v>7.04758</v>
      </c>
      <c r="Z547">
        <v>7.0993000000000004</v>
      </c>
      <c r="AA547">
        <v>7.1157600000000008</v>
      </c>
      <c r="AB547">
        <v>7.1816000000000004</v>
      </c>
      <c r="AC547">
        <v>7.2607999999999997</v>
      </c>
      <c r="AD547">
        <v>7.3372000000000002</v>
      </c>
      <c r="AE547">
        <v>7.4112</v>
      </c>
      <c r="AF547">
        <v>7.4829999999999997</v>
      </c>
      <c r="AG547">
        <v>7.5519499999999997</v>
      </c>
      <c r="AH547">
        <v>7.6208999999999998</v>
      </c>
      <c r="AI547">
        <v>7.6865500000000004</v>
      </c>
      <c r="AJ547">
        <v>7.7522000000000002</v>
      </c>
      <c r="AK547">
        <v>7.8149499999999996</v>
      </c>
      <c r="AL547">
        <v>7.8776999999999999</v>
      </c>
    </row>
    <row r="548" spans="1:38" x14ac:dyDescent="0.3">
      <c r="A548">
        <v>1850</v>
      </c>
      <c r="B548">
        <v>208.47</v>
      </c>
      <c r="C548" t="s">
        <v>0</v>
      </c>
      <c r="D548">
        <v>1.17</v>
      </c>
      <c r="E548">
        <v>107.41</v>
      </c>
      <c r="F548" t="s">
        <v>21</v>
      </c>
      <c r="G548" t="s">
        <v>21</v>
      </c>
      <c r="H548" t="s">
        <v>21</v>
      </c>
      <c r="I548" t="s">
        <v>21</v>
      </c>
      <c r="J548" t="s">
        <v>21</v>
      </c>
      <c r="K548" t="s">
        <v>21</v>
      </c>
      <c r="L548">
        <v>112.03399999999999</v>
      </c>
      <c r="M548">
        <v>113.19</v>
      </c>
      <c r="N548">
        <v>118.074</v>
      </c>
      <c r="O548">
        <v>121.33</v>
      </c>
      <c r="P548">
        <v>124.38200000000001</v>
      </c>
      <c r="Q548">
        <v>128.96</v>
      </c>
      <c r="R548">
        <v>130.42000000000002</v>
      </c>
      <c r="S548">
        <v>133.34</v>
      </c>
      <c r="T548">
        <v>136.26</v>
      </c>
      <c r="U548">
        <v>141.916</v>
      </c>
      <c r="V548">
        <v>143.33000000000001</v>
      </c>
      <c r="W548">
        <v>147.47</v>
      </c>
      <c r="X548">
        <v>150.22999999999999</v>
      </c>
      <c r="Y548">
        <v>152.946</v>
      </c>
      <c r="Z548">
        <v>157.02000000000001</v>
      </c>
      <c r="AA548">
        <v>158.36199999999999</v>
      </c>
      <c r="AB548">
        <v>163.72999999999999</v>
      </c>
      <c r="AC548">
        <v>170.37</v>
      </c>
      <c r="AD548">
        <v>176.96</v>
      </c>
      <c r="AE548">
        <v>183.5</v>
      </c>
      <c r="AF548">
        <v>190.02</v>
      </c>
      <c r="AG548">
        <v>196.495</v>
      </c>
      <c r="AH548">
        <v>202.97</v>
      </c>
      <c r="AI548">
        <v>209.405</v>
      </c>
      <c r="AJ548">
        <v>215.84</v>
      </c>
      <c r="AK548">
        <v>222.24</v>
      </c>
      <c r="AL548">
        <v>228.64</v>
      </c>
    </row>
    <row r="549" spans="1:38" x14ac:dyDescent="0.3">
      <c r="A549">
        <v>1850</v>
      </c>
      <c r="B549">
        <v>208.47</v>
      </c>
      <c r="C549" t="s">
        <v>18</v>
      </c>
      <c r="D549">
        <v>888.58500000000004</v>
      </c>
      <c r="E549">
        <v>2596.8000000000002</v>
      </c>
      <c r="F549" t="s">
        <v>21</v>
      </c>
      <c r="G549" t="s">
        <v>21</v>
      </c>
      <c r="H549" t="s">
        <v>21</v>
      </c>
      <c r="I549" t="s">
        <v>21</v>
      </c>
      <c r="J549" t="s">
        <v>21</v>
      </c>
      <c r="K549" t="s">
        <v>21</v>
      </c>
      <c r="L549">
        <v>2626</v>
      </c>
      <c r="M549">
        <v>2633.3</v>
      </c>
      <c r="N549">
        <v>2663.96</v>
      </c>
      <c r="O549">
        <v>2684.4</v>
      </c>
      <c r="P549">
        <v>2703.44</v>
      </c>
      <c r="Q549">
        <v>2732</v>
      </c>
      <c r="R549">
        <v>2741.04</v>
      </c>
      <c r="S549">
        <v>2759.12</v>
      </c>
      <c r="T549">
        <v>2777.2</v>
      </c>
      <c r="U549">
        <v>2812.16</v>
      </c>
      <c r="V549">
        <v>2820.9</v>
      </c>
      <c r="W549">
        <v>2846.6400000000003</v>
      </c>
      <c r="X549">
        <v>2863.8</v>
      </c>
      <c r="Y549">
        <v>2880.7200000000003</v>
      </c>
      <c r="Z549">
        <v>2906.1</v>
      </c>
      <c r="AA549">
        <v>2914.52</v>
      </c>
      <c r="AB549">
        <v>2948.2</v>
      </c>
      <c r="AC549">
        <v>2990.3</v>
      </c>
      <c r="AD549">
        <v>3032.4</v>
      </c>
      <c r="AE549">
        <v>3074.8</v>
      </c>
      <c r="AF549">
        <v>3117.4</v>
      </c>
      <c r="AG549">
        <v>3160.5</v>
      </c>
      <c r="AH549">
        <v>3203.6</v>
      </c>
      <c r="AI549">
        <v>3247.35</v>
      </c>
      <c r="AJ549">
        <v>3291.1</v>
      </c>
      <c r="AK549">
        <v>3335.6499999999996</v>
      </c>
      <c r="AL549">
        <v>3380.2</v>
      </c>
    </row>
    <row r="550" spans="1:38" x14ac:dyDescent="0.3">
      <c r="A550">
        <v>1850</v>
      </c>
      <c r="B550">
        <v>208.47</v>
      </c>
      <c r="C550" t="s">
        <v>19</v>
      </c>
      <c r="D550">
        <v>890.75</v>
      </c>
      <c r="E550">
        <v>2795.5</v>
      </c>
      <c r="F550" t="s">
        <v>21</v>
      </c>
      <c r="G550" t="s">
        <v>21</v>
      </c>
      <c r="H550" t="s">
        <v>21</v>
      </c>
      <c r="I550" t="s">
        <v>21</v>
      </c>
      <c r="J550" t="s">
        <v>21</v>
      </c>
      <c r="K550" t="s">
        <v>21</v>
      </c>
      <c r="L550">
        <v>2833.34</v>
      </c>
      <c r="M550">
        <v>2842.8</v>
      </c>
      <c r="N550">
        <v>2882.46</v>
      </c>
      <c r="O550">
        <v>2908.9</v>
      </c>
      <c r="P550">
        <v>2933.58</v>
      </c>
      <c r="Q550">
        <v>2970.6</v>
      </c>
      <c r="R550">
        <v>2982.34</v>
      </c>
      <c r="S550">
        <v>3005.82</v>
      </c>
      <c r="T550">
        <v>3029.3</v>
      </c>
      <c r="U550">
        <v>3074.74</v>
      </c>
      <c r="V550">
        <v>3086.1</v>
      </c>
      <c r="W550">
        <v>3119.46</v>
      </c>
      <c r="X550">
        <v>3141.7</v>
      </c>
      <c r="Y550">
        <v>3163.66</v>
      </c>
      <c r="Z550">
        <v>3196.6</v>
      </c>
      <c r="AA550">
        <v>3207.5</v>
      </c>
      <c r="AB550">
        <v>3251.1</v>
      </c>
      <c r="AC550">
        <v>3305.4</v>
      </c>
      <c r="AD550">
        <v>3359.8</v>
      </c>
      <c r="AE550">
        <v>3414.3</v>
      </c>
      <c r="AF550">
        <v>3468.9</v>
      </c>
      <c r="AG550">
        <v>3524</v>
      </c>
      <c r="AH550">
        <v>3579.1</v>
      </c>
      <c r="AI550">
        <v>3634.75</v>
      </c>
      <c r="AJ550">
        <v>3690.4</v>
      </c>
      <c r="AK550">
        <v>3746.8</v>
      </c>
      <c r="AL550">
        <v>3803.2</v>
      </c>
    </row>
    <row r="551" spans="1:38" x14ac:dyDescent="0.3">
      <c r="A551">
        <v>1850</v>
      </c>
      <c r="B551">
        <v>208.47</v>
      </c>
      <c r="C551" t="s">
        <v>20</v>
      </c>
      <c r="D551">
        <v>2.4102999999999999</v>
      </c>
      <c r="E551">
        <v>6.3651</v>
      </c>
      <c r="F551" t="s">
        <v>21</v>
      </c>
      <c r="G551" t="s">
        <v>21</v>
      </c>
      <c r="H551" t="s">
        <v>21</v>
      </c>
      <c r="I551" t="s">
        <v>21</v>
      </c>
      <c r="J551" t="s">
        <v>21</v>
      </c>
      <c r="K551" t="s">
        <v>21</v>
      </c>
      <c r="L551">
        <v>6.4422999999999995</v>
      </c>
      <c r="M551">
        <v>6.4615999999999998</v>
      </c>
      <c r="N551">
        <v>6.5393599999999994</v>
      </c>
      <c r="O551">
        <v>6.5911999999999997</v>
      </c>
      <c r="P551">
        <v>6.6372799999999996</v>
      </c>
      <c r="Q551">
        <v>6.7064000000000004</v>
      </c>
      <c r="R551">
        <v>6.72736</v>
      </c>
      <c r="S551">
        <v>6.7692800000000002</v>
      </c>
      <c r="T551">
        <v>6.8112000000000004</v>
      </c>
      <c r="U551">
        <v>6.8887999999999998</v>
      </c>
      <c r="V551">
        <v>6.9081999999999999</v>
      </c>
      <c r="W551">
        <v>6.96286</v>
      </c>
      <c r="X551">
        <v>6.9992999999999999</v>
      </c>
      <c r="Y551">
        <v>7.0338200000000004</v>
      </c>
      <c r="Z551">
        <v>7.0856000000000003</v>
      </c>
      <c r="AA551">
        <v>7.1021000000000001</v>
      </c>
      <c r="AB551">
        <v>7.1680999999999999</v>
      </c>
      <c r="AC551">
        <v>7.2473999999999998</v>
      </c>
      <c r="AD551">
        <v>7.3239000000000001</v>
      </c>
      <c r="AE551">
        <v>7.3979999999999997</v>
      </c>
      <c r="AF551">
        <v>7.4698000000000002</v>
      </c>
      <c r="AG551">
        <v>7.5388500000000001</v>
      </c>
      <c r="AH551">
        <v>7.6078999999999999</v>
      </c>
      <c r="AI551">
        <v>7.6735500000000005</v>
      </c>
      <c r="AJ551">
        <v>7.7392000000000003</v>
      </c>
      <c r="AK551">
        <v>7.8019999999999996</v>
      </c>
      <c r="AL551">
        <v>7.8647999999999998</v>
      </c>
    </row>
    <row r="552" spans="1:38" x14ac:dyDescent="0.3">
      <c r="A552">
        <v>1900</v>
      </c>
      <c r="B552">
        <v>209.8</v>
      </c>
      <c r="C552" t="s">
        <v>0</v>
      </c>
      <c r="D552">
        <v>1.1719999999999999</v>
      </c>
      <c r="E552">
        <v>104.65</v>
      </c>
      <c r="F552" t="s">
        <v>21</v>
      </c>
      <c r="G552" t="s">
        <v>21</v>
      </c>
      <c r="H552" t="s">
        <v>21</v>
      </c>
      <c r="I552" t="s">
        <v>21</v>
      </c>
      <c r="J552" t="s">
        <v>21</v>
      </c>
      <c r="K552" t="s">
        <v>21</v>
      </c>
      <c r="L552">
        <v>108.82600000000001</v>
      </c>
      <c r="M552">
        <v>109.87</v>
      </c>
      <c r="N552">
        <v>114.67</v>
      </c>
      <c r="O552">
        <v>117.87</v>
      </c>
      <c r="P552">
        <v>120.86199999999999</v>
      </c>
      <c r="Q552">
        <v>125.35</v>
      </c>
      <c r="R552">
        <v>126.77799999999999</v>
      </c>
      <c r="S552">
        <v>129.63400000000001</v>
      </c>
      <c r="T552">
        <v>132.49</v>
      </c>
      <c r="U552">
        <v>138.01</v>
      </c>
      <c r="V552">
        <v>139.38999999999999</v>
      </c>
      <c r="W552">
        <v>143.44</v>
      </c>
      <c r="X552">
        <v>146.13999999999999</v>
      </c>
      <c r="Y552">
        <v>148.78799999999998</v>
      </c>
      <c r="Z552">
        <v>152.76</v>
      </c>
      <c r="AA552">
        <v>154.06799999999998</v>
      </c>
      <c r="AB552">
        <v>159.30000000000001</v>
      </c>
      <c r="AC552">
        <v>165.78</v>
      </c>
      <c r="AD552">
        <v>172.21</v>
      </c>
      <c r="AE552">
        <v>178.59</v>
      </c>
      <c r="AF552">
        <v>184.94</v>
      </c>
      <c r="AG552">
        <v>191.255</v>
      </c>
      <c r="AH552">
        <v>197.57</v>
      </c>
      <c r="AI552">
        <v>203.84</v>
      </c>
      <c r="AJ552">
        <v>210.11</v>
      </c>
      <c r="AK552">
        <v>216.34500000000003</v>
      </c>
      <c r="AL552">
        <v>222.58</v>
      </c>
    </row>
    <row r="553" spans="1:38" x14ac:dyDescent="0.3">
      <c r="A553">
        <v>1900</v>
      </c>
      <c r="B553">
        <v>209.8</v>
      </c>
      <c r="C553" t="s">
        <v>18</v>
      </c>
      <c r="D553">
        <v>894.58</v>
      </c>
      <c r="E553">
        <v>2597.3000000000002</v>
      </c>
      <c r="F553" t="s">
        <v>21</v>
      </c>
      <c r="G553" t="s">
        <v>21</v>
      </c>
      <c r="H553" t="s">
        <v>21</v>
      </c>
      <c r="I553" t="s">
        <v>21</v>
      </c>
      <c r="J553" t="s">
        <v>21</v>
      </c>
      <c r="K553" t="s">
        <v>21</v>
      </c>
      <c r="L553">
        <v>2624.42</v>
      </c>
      <c r="M553">
        <v>2631.2</v>
      </c>
      <c r="N553">
        <v>2662.16</v>
      </c>
      <c r="O553">
        <v>2682.8</v>
      </c>
      <c r="P553">
        <v>2701.96</v>
      </c>
      <c r="Q553">
        <v>2730.7</v>
      </c>
      <c r="R553">
        <v>2739.7999999999997</v>
      </c>
      <c r="S553">
        <v>2758</v>
      </c>
      <c r="T553">
        <v>2776.2</v>
      </c>
      <c r="U553">
        <v>2811.3199999999997</v>
      </c>
      <c r="V553">
        <v>2820.1</v>
      </c>
      <c r="W553">
        <v>2845.84</v>
      </c>
      <c r="X553">
        <v>2863</v>
      </c>
      <c r="Y553">
        <v>2879.96</v>
      </c>
      <c r="Z553">
        <v>2905.4</v>
      </c>
      <c r="AA553">
        <v>2913.84</v>
      </c>
      <c r="AB553">
        <v>2947.6</v>
      </c>
      <c r="AC553">
        <v>2989.7</v>
      </c>
      <c r="AD553">
        <v>3031.9</v>
      </c>
      <c r="AE553">
        <v>3074.3</v>
      </c>
      <c r="AF553">
        <v>3117</v>
      </c>
      <c r="AG553">
        <v>3160.1</v>
      </c>
      <c r="AH553">
        <v>3203.2</v>
      </c>
      <c r="AI553">
        <v>3247</v>
      </c>
      <c r="AJ553">
        <v>3290.8</v>
      </c>
      <c r="AK553">
        <v>3335.4</v>
      </c>
      <c r="AL553">
        <v>3380</v>
      </c>
    </row>
    <row r="554" spans="1:38" x14ac:dyDescent="0.3">
      <c r="A554">
        <v>1900</v>
      </c>
      <c r="B554">
        <v>209.8</v>
      </c>
      <c r="C554" t="s">
        <v>19</v>
      </c>
      <c r="D554">
        <v>896.80700000000002</v>
      </c>
      <c r="E554">
        <v>2796.1</v>
      </c>
      <c r="F554" t="s">
        <v>21</v>
      </c>
      <c r="G554" t="s">
        <v>21</v>
      </c>
      <c r="H554" t="s">
        <v>21</v>
      </c>
      <c r="I554" t="s">
        <v>21</v>
      </c>
      <c r="J554" t="s">
        <v>21</v>
      </c>
      <c r="K554" t="s">
        <v>21</v>
      </c>
      <c r="L554">
        <v>2831.22</v>
      </c>
      <c r="M554">
        <v>2840</v>
      </c>
      <c r="N554">
        <v>2880.02</v>
      </c>
      <c r="O554">
        <v>2906.7</v>
      </c>
      <c r="P554">
        <v>2931.54</v>
      </c>
      <c r="Q554">
        <v>2968.8</v>
      </c>
      <c r="R554">
        <v>2980.6200000000003</v>
      </c>
      <c r="S554">
        <v>3004.26</v>
      </c>
      <c r="T554">
        <v>3027.9</v>
      </c>
      <c r="U554">
        <v>3073.5</v>
      </c>
      <c r="V554">
        <v>3084.9</v>
      </c>
      <c r="W554">
        <v>3118.38</v>
      </c>
      <c r="X554">
        <v>3140.7</v>
      </c>
      <c r="Y554">
        <v>3162.7</v>
      </c>
      <c r="Z554">
        <v>3195.7</v>
      </c>
      <c r="AA554">
        <v>3206.62</v>
      </c>
      <c r="AB554">
        <v>3250.3</v>
      </c>
      <c r="AC554">
        <v>3304.7</v>
      </c>
      <c r="AD554">
        <v>3359.1</v>
      </c>
      <c r="AE554">
        <v>3413.7</v>
      </c>
      <c r="AF554">
        <v>3468.4</v>
      </c>
      <c r="AG554">
        <v>3523.5</v>
      </c>
      <c r="AH554">
        <v>3578.6</v>
      </c>
      <c r="AI554">
        <v>3634.3</v>
      </c>
      <c r="AJ554">
        <v>3690</v>
      </c>
      <c r="AK554">
        <v>3746.4</v>
      </c>
      <c r="AL554">
        <v>3802.8</v>
      </c>
    </row>
    <row r="555" spans="1:38" x14ac:dyDescent="0.3">
      <c r="A555">
        <v>1900</v>
      </c>
      <c r="B555">
        <v>209.8</v>
      </c>
      <c r="C555" t="s">
        <v>20</v>
      </c>
      <c r="D555">
        <v>2.4228000000000001</v>
      </c>
      <c r="E555">
        <v>6.3554000000000004</v>
      </c>
      <c r="F555" t="s">
        <v>21</v>
      </c>
      <c r="G555" t="s">
        <v>21</v>
      </c>
      <c r="H555" t="s">
        <v>21</v>
      </c>
      <c r="I555" t="s">
        <v>21</v>
      </c>
      <c r="J555" t="s">
        <v>21</v>
      </c>
      <c r="K555" t="s">
        <v>21</v>
      </c>
      <c r="L555">
        <v>6.42692</v>
      </c>
      <c r="M555">
        <v>6.4447999999999999</v>
      </c>
      <c r="N555">
        <v>6.5233400000000001</v>
      </c>
      <c r="O555">
        <v>6.5757000000000003</v>
      </c>
      <c r="P555">
        <v>6.6221000000000005</v>
      </c>
      <c r="Q555">
        <v>6.6917</v>
      </c>
      <c r="R555">
        <v>6.7127600000000003</v>
      </c>
      <c r="S555">
        <v>6.75488</v>
      </c>
      <c r="T555">
        <v>6.7969999999999997</v>
      </c>
      <c r="U555">
        <v>6.8749200000000004</v>
      </c>
      <c r="V555">
        <v>6.8944000000000001</v>
      </c>
      <c r="W555">
        <v>6.9491800000000001</v>
      </c>
      <c r="X555">
        <v>6.9856999999999996</v>
      </c>
      <c r="Y555">
        <v>7.02034</v>
      </c>
      <c r="Z555">
        <v>7.0723000000000003</v>
      </c>
      <c r="AA555">
        <v>7.0888400000000003</v>
      </c>
      <c r="AB555">
        <v>7.1550000000000002</v>
      </c>
      <c r="AC555">
        <v>7.2343999999999999</v>
      </c>
      <c r="AD555">
        <v>7.3109000000000002</v>
      </c>
      <c r="AE555">
        <v>7.3851000000000004</v>
      </c>
      <c r="AF555">
        <v>7.4569999999999999</v>
      </c>
      <c r="AG555">
        <v>7.5260499999999997</v>
      </c>
      <c r="AH555">
        <v>7.5951000000000004</v>
      </c>
      <c r="AI555">
        <v>7.6608000000000001</v>
      </c>
      <c r="AJ555">
        <v>7.7264999999999997</v>
      </c>
      <c r="AK555">
        <v>7.7893499999999998</v>
      </c>
      <c r="AL555">
        <v>7.8521999999999998</v>
      </c>
    </row>
    <row r="556" spans="1:38" x14ac:dyDescent="0.3">
      <c r="A556">
        <v>1950</v>
      </c>
      <c r="B556">
        <v>211.1</v>
      </c>
      <c r="C556" t="s">
        <v>0</v>
      </c>
      <c r="D556">
        <v>1.1739999999999999</v>
      </c>
      <c r="E556">
        <v>102.03100000000001</v>
      </c>
      <c r="F556" t="s">
        <v>21</v>
      </c>
      <c r="G556" t="s">
        <v>21</v>
      </c>
      <c r="H556" t="s">
        <v>21</v>
      </c>
      <c r="I556" t="s">
        <v>21</v>
      </c>
      <c r="J556" t="s">
        <v>21</v>
      </c>
      <c r="K556" t="s">
        <v>21</v>
      </c>
      <c r="L556">
        <v>105.7822</v>
      </c>
      <c r="M556">
        <v>106.72</v>
      </c>
      <c r="N556">
        <v>111.43599999999999</v>
      </c>
      <c r="O556">
        <v>114.58</v>
      </c>
      <c r="P556">
        <v>117.512</v>
      </c>
      <c r="Q556">
        <v>121.91</v>
      </c>
      <c r="R556">
        <v>123.30799999999999</v>
      </c>
      <c r="S556">
        <v>126.104</v>
      </c>
      <c r="T556">
        <v>128.9</v>
      </c>
      <c r="U556">
        <v>134.30799999999999</v>
      </c>
      <c r="V556">
        <v>135.66</v>
      </c>
      <c r="W556">
        <v>139.614</v>
      </c>
      <c r="X556">
        <v>142.25</v>
      </c>
      <c r="Y556">
        <v>144.83799999999999</v>
      </c>
      <c r="Z556">
        <v>148.72</v>
      </c>
      <c r="AA556">
        <v>149.99799999999999</v>
      </c>
      <c r="AB556">
        <v>155.11000000000001</v>
      </c>
      <c r="AC556">
        <v>161.43</v>
      </c>
      <c r="AD556">
        <v>167.7</v>
      </c>
      <c r="AE556">
        <v>173.93</v>
      </c>
      <c r="AF556">
        <v>180.13</v>
      </c>
      <c r="AG556">
        <v>186.285</v>
      </c>
      <c r="AH556">
        <v>192.44</v>
      </c>
      <c r="AI556">
        <v>198.55500000000001</v>
      </c>
      <c r="AJ556">
        <v>204.67</v>
      </c>
      <c r="AK556">
        <v>210.75</v>
      </c>
      <c r="AL556">
        <v>216.83</v>
      </c>
    </row>
    <row r="557" spans="1:38" x14ac:dyDescent="0.3">
      <c r="A557">
        <v>1950</v>
      </c>
      <c r="B557">
        <v>211.1</v>
      </c>
      <c r="C557" t="s">
        <v>18</v>
      </c>
      <c r="D557">
        <v>900.46100000000001</v>
      </c>
      <c r="E557">
        <v>2597.6999999999998</v>
      </c>
      <c r="F557" t="s">
        <v>21</v>
      </c>
      <c r="G557" t="s">
        <v>21</v>
      </c>
      <c r="H557" t="s">
        <v>21</v>
      </c>
      <c r="I557" t="s">
        <v>21</v>
      </c>
      <c r="J557" t="s">
        <v>21</v>
      </c>
      <c r="K557" t="s">
        <v>21</v>
      </c>
      <c r="L557">
        <v>2622.74</v>
      </c>
      <c r="M557">
        <v>2629</v>
      </c>
      <c r="N557">
        <v>2660.2599999999998</v>
      </c>
      <c r="O557">
        <v>2681.1</v>
      </c>
      <c r="P557">
        <v>2700.42</v>
      </c>
      <c r="Q557">
        <v>2729.4</v>
      </c>
      <c r="R557">
        <v>2738.54</v>
      </c>
      <c r="S557">
        <v>2756.8199999999997</v>
      </c>
      <c r="T557">
        <v>2775.1</v>
      </c>
      <c r="U557">
        <v>2810.3799999999997</v>
      </c>
      <c r="V557">
        <v>2819.2</v>
      </c>
      <c r="W557">
        <v>2845.06</v>
      </c>
      <c r="X557">
        <v>2862.3</v>
      </c>
      <c r="Y557">
        <v>2879.3</v>
      </c>
      <c r="Z557">
        <v>2904.8</v>
      </c>
      <c r="AA557">
        <v>2913.2400000000002</v>
      </c>
      <c r="AB557">
        <v>2947</v>
      </c>
      <c r="AC557">
        <v>2989.2</v>
      </c>
      <c r="AD557">
        <v>3031.5</v>
      </c>
      <c r="AE557">
        <v>3073.9</v>
      </c>
      <c r="AF557">
        <v>3116.6</v>
      </c>
      <c r="AG557">
        <v>3159.75</v>
      </c>
      <c r="AH557">
        <v>3202.9</v>
      </c>
      <c r="AI557">
        <v>3246.7</v>
      </c>
      <c r="AJ557">
        <v>3290.5</v>
      </c>
      <c r="AK557">
        <v>3335.1</v>
      </c>
      <c r="AL557">
        <v>3379.7</v>
      </c>
    </row>
    <row r="558" spans="1:38" x14ac:dyDescent="0.3">
      <c r="A558">
        <v>1950</v>
      </c>
      <c r="B558">
        <v>211.1</v>
      </c>
      <c r="C558" t="s">
        <v>19</v>
      </c>
      <c r="D558">
        <v>902.75199999999995</v>
      </c>
      <c r="E558">
        <v>2796.7</v>
      </c>
      <c r="F558" t="s">
        <v>21</v>
      </c>
      <c r="G558" t="s">
        <v>21</v>
      </c>
      <c r="H558" t="s">
        <v>21</v>
      </c>
      <c r="I558" t="s">
        <v>21</v>
      </c>
      <c r="J558" t="s">
        <v>21</v>
      </c>
      <c r="K558" t="s">
        <v>21</v>
      </c>
      <c r="L558">
        <v>2829.02</v>
      </c>
      <c r="M558">
        <v>2837.1</v>
      </c>
      <c r="N558">
        <v>2877.6</v>
      </c>
      <c r="O558">
        <v>2904.6</v>
      </c>
      <c r="P558">
        <v>2929.6</v>
      </c>
      <c r="Q558">
        <v>2967.1</v>
      </c>
      <c r="R558">
        <v>2978.98</v>
      </c>
      <c r="S558">
        <v>3002.74</v>
      </c>
      <c r="T558">
        <v>3026.5</v>
      </c>
      <c r="U558">
        <v>3072.2599999999998</v>
      </c>
      <c r="V558">
        <v>3083.7</v>
      </c>
      <c r="W558">
        <v>3117.2999999999997</v>
      </c>
      <c r="X558">
        <v>3139.7</v>
      </c>
      <c r="Y558">
        <v>3161.74</v>
      </c>
      <c r="Z558">
        <v>3194.8</v>
      </c>
      <c r="AA558">
        <v>3205.7400000000002</v>
      </c>
      <c r="AB558">
        <v>3249.5</v>
      </c>
      <c r="AC558">
        <v>3304</v>
      </c>
      <c r="AD558">
        <v>3358.5</v>
      </c>
      <c r="AE558">
        <v>3413.1</v>
      </c>
      <c r="AF558">
        <v>3467.8</v>
      </c>
      <c r="AG558">
        <v>3522.95</v>
      </c>
      <c r="AH558">
        <v>3578.1</v>
      </c>
      <c r="AI558">
        <v>3633.85</v>
      </c>
      <c r="AJ558">
        <v>3689.6</v>
      </c>
      <c r="AK558">
        <v>3746.05</v>
      </c>
      <c r="AL558">
        <v>3802.5</v>
      </c>
    </row>
    <row r="559" spans="1:38" x14ac:dyDescent="0.3">
      <c r="A559">
        <v>1950</v>
      </c>
      <c r="B559">
        <v>211.1</v>
      </c>
      <c r="C559" t="s">
        <v>20</v>
      </c>
      <c r="D559">
        <v>2.4348999999999998</v>
      </c>
      <c r="E559">
        <v>6.3459000000000003</v>
      </c>
      <c r="F559" t="s">
        <v>21</v>
      </c>
      <c r="G559" t="s">
        <v>21</v>
      </c>
      <c r="H559" t="s">
        <v>21</v>
      </c>
      <c r="I559" t="s">
        <v>21</v>
      </c>
      <c r="J559" t="s">
        <v>21</v>
      </c>
      <c r="K559" t="s">
        <v>21</v>
      </c>
      <c r="L559">
        <v>6.4118200000000005</v>
      </c>
      <c r="M559">
        <v>6.4283000000000001</v>
      </c>
      <c r="N559">
        <v>6.5075599999999998</v>
      </c>
      <c r="O559">
        <v>6.5603999999999996</v>
      </c>
      <c r="P559">
        <v>6.6071200000000001</v>
      </c>
      <c r="Q559">
        <v>6.6772</v>
      </c>
      <c r="R559">
        <v>6.6983800000000002</v>
      </c>
      <c r="S559">
        <v>6.7407400000000006</v>
      </c>
      <c r="T559">
        <v>6.7831000000000001</v>
      </c>
      <c r="U559">
        <v>6.8613399999999993</v>
      </c>
      <c r="V559">
        <v>6.8808999999999996</v>
      </c>
      <c r="W559">
        <v>6.9358599999999999</v>
      </c>
      <c r="X559">
        <v>6.9725000000000001</v>
      </c>
      <c r="Y559">
        <v>7.0072200000000002</v>
      </c>
      <c r="Z559">
        <v>7.0593000000000004</v>
      </c>
      <c r="AA559">
        <v>7.0758600000000005</v>
      </c>
      <c r="AB559">
        <v>7.1421000000000001</v>
      </c>
      <c r="AC559">
        <v>7.2215999999999996</v>
      </c>
      <c r="AD559">
        <v>7.2983000000000002</v>
      </c>
      <c r="AE559">
        <v>7.3724999999999996</v>
      </c>
      <c r="AF559">
        <v>7.4444999999999997</v>
      </c>
      <c r="AG559">
        <v>7.5136000000000003</v>
      </c>
      <c r="AH559">
        <v>7.5827</v>
      </c>
      <c r="AI559">
        <v>7.6484500000000004</v>
      </c>
      <c r="AJ559">
        <v>7.7141999999999999</v>
      </c>
      <c r="AK559">
        <v>7.77705</v>
      </c>
      <c r="AL559">
        <v>7.8399000000000001</v>
      </c>
    </row>
    <row r="560" spans="1:38" x14ac:dyDescent="0.3">
      <c r="A560">
        <v>2000</v>
      </c>
      <c r="B560">
        <v>212.37</v>
      </c>
      <c r="C560" t="s">
        <v>0</v>
      </c>
      <c r="D560">
        <v>1.177</v>
      </c>
      <c r="E560">
        <v>99.536000000000001</v>
      </c>
      <c r="F560" t="s">
        <v>21</v>
      </c>
      <c r="G560" t="s">
        <v>21</v>
      </c>
      <c r="H560" t="s">
        <v>21</v>
      </c>
      <c r="I560" t="s">
        <v>21</v>
      </c>
      <c r="J560" t="s">
        <v>21</v>
      </c>
      <c r="K560" t="s">
        <v>21</v>
      </c>
      <c r="L560">
        <v>102.8832</v>
      </c>
      <c r="M560">
        <v>103.72</v>
      </c>
      <c r="N560">
        <v>108.358</v>
      </c>
      <c r="O560">
        <v>111.45</v>
      </c>
      <c r="P560">
        <v>114.33</v>
      </c>
      <c r="Q560">
        <v>118.65</v>
      </c>
      <c r="R560">
        <v>120.02000000000001</v>
      </c>
      <c r="S560">
        <v>122.76</v>
      </c>
      <c r="T560">
        <v>125.5</v>
      </c>
      <c r="U560">
        <v>130.78800000000001</v>
      </c>
      <c r="V560">
        <v>132.11000000000001</v>
      </c>
      <c r="W560">
        <v>135.98000000000002</v>
      </c>
      <c r="X560">
        <v>138.56</v>
      </c>
      <c r="Y560">
        <v>141.09199999999998</v>
      </c>
      <c r="Z560">
        <v>144.88999999999999</v>
      </c>
      <c r="AA560">
        <v>146.13799999999998</v>
      </c>
      <c r="AB560">
        <v>151.13</v>
      </c>
      <c r="AC560">
        <v>157.30000000000001</v>
      </c>
      <c r="AD560">
        <v>163.41999999999999</v>
      </c>
      <c r="AE560">
        <v>169.51</v>
      </c>
      <c r="AF560">
        <v>175.55</v>
      </c>
      <c r="AG560">
        <v>181.56</v>
      </c>
      <c r="AH560">
        <v>187.57</v>
      </c>
      <c r="AI560">
        <v>193.535</v>
      </c>
      <c r="AJ560">
        <v>199.5</v>
      </c>
      <c r="AK560">
        <v>205.43</v>
      </c>
      <c r="AL560">
        <v>211.36</v>
      </c>
    </row>
    <row r="561" spans="1:38" x14ac:dyDescent="0.3">
      <c r="A561">
        <v>2000</v>
      </c>
      <c r="B561">
        <v>212.37</v>
      </c>
      <c r="C561" t="s">
        <v>18</v>
      </c>
      <c r="D561">
        <v>906.23599999999999</v>
      </c>
      <c r="E561">
        <v>2598.1999999999998</v>
      </c>
      <c r="F561" t="s">
        <v>21</v>
      </c>
      <c r="G561" t="s">
        <v>21</v>
      </c>
      <c r="H561" t="s">
        <v>21</v>
      </c>
      <c r="I561" t="s">
        <v>21</v>
      </c>
      <c r="J561" t="s">
        <v>21</v>
      </c>
      <c r="K561" t="s">
        <v>21</v>
      </c>
      <c r="L561">
        <v>2621.16</v>
      </c>
      <c r="M561">
        <v>2626.9</v>
      </c>
      <c r="N561">
        <v>2658.46</v>
      </c>
      <c r="O561">
        <v>2679.5</v>
      </c>
      <c r="P561">
        <v>2698.94</v>
      </c>
      <c r="Q561">
        <v>2728.1</v>
      </c>
      <c r="R561">
        <v>2737.2799999999997</v>
      </c>
      <c r="S561">
        <v>2755.64</v>
      </c>
      <c r="T561">
        <v>2774</v>
      </c>
      <c r="U561">
        <v>2809.44</v>
      </c>
      <c r="V561">
        <v>2818.3</v>
      </c>
      <c r="W561">
        <v>2844.2200000000003</v>
      </c>
      <c r="X561">
        <v>2861.5</v>
      </c>
      <c r="Y561">
        <v>2878.54</v>
      </c>
      <c r="Z561">
        <v>2904.1</v>
      </c>
      <c r="AA561">
        <v>2912.56</v>
      </c>
      <c r="AB561">
        <v>2946.4</v>
      </c>
      <c r="AC561">
        <v>2988.7</v>
      </c>
      <c r="AD561">
        <v>3031</v>
      </c>
      <c r="AE561">
        <v>3073.5</v>
      </c>
      <c r="AF561">
        <v>3116.2</v>
      </c>
      <c r="AG561">
        <v>3159.35</v>
      </c>
      <c r="AH561">
        <v>3202.5</v>
      </c>
      <c r="AI561">
        <v>3246.35</v>
      </c>
      <c r="AJ561">
        <v>3290.2</v>
      </c>
      <c r="AK561">
        <v>3334.8</v>
      </c>
      <c r="AL561">
        <v>3379.4</v>
      </c>
    </row>
    <row r="562" spans="1:38" x14ac:dyDescent="0.3">
      <c r="A562">
        <v>2000</v>
      </c>
      <c r="B562">
        <v>212.37</v>
      </c>
      <c r="C562" t="s">
        <v>19</v>
      </c>
      <c r="D562">
        <v>908.58900000000006</v>
      </c>
      <c r="E562">
        <v>2797.2</v>
      </c>
      <c r="F562" t="s">
        <v>21</v>
      </c>
      <c r="G562" t="s">
        <v>21</v>
      </c>
      <c r="H562" t="s">
        <v>21</v>
      </c>
      <c r="I562" t="s">
        <v>21</v>
      </c>
      <c r="J562" t="s">
        <v>21</v>
      </c>
      <c r="K562" t="s">
        <v>21</v>
      </c>
      <c r="L562">
        <v>2826.88</v>
      </c>
      <c r="M562">
        <v>2834.3</v>
      </c>
      <c r="N562">
        <v>2875.1600000000003</v>
      </c>
      <c r="O562">
        <v>2902.4</v>
      </c>
      <c r="P562">
        <v>2927.6</v>
      </c>
      <c r="Q562">
        <v>2965.4</v>
      </c>
      <c r="R562">
        <v>2977.32</v>
      </c>
      <c r="S562">
        <v>3001.16</v>
      </c>
      <c r="T562">
        <v>3025</v>
      </c>
      <c r="U562">
        <v>3071</v>
      </c>
      <c r="V562">
        <v>3082.5</v>
      </c>
      <c r="W562">
        <v>3116.16</v>
      </c>
      <c r="X562">
        <v>3138.6</v>
      </c>
      <c r="Y562">
        <v>3160.72</v>
      </c>
      <c r="Z562">
        <v>3193.9</v>
      </c>
      <c r="AA562">
        <v>3204.86</v>
      </c>
      <c r="AB562">
        <v>3248.7</v>
      </c>
      <c r="AC562">
        <v>3303.3</v>
      </c>
      <c r="AD562">
        <v>3357.8</v>
      </c>
      <c r="AE562">
        <v>3412.5</v>
      </c>
      <c r="AF562">
        <v>3467.3</v>
      </c>
      <c r="AG562">
        <v>3522.45</v>
      </c>
      <c r="AH562">
        <v>3577.6</v>
      </c>
      <c r="AI562">
        <v>3633.3999999999996</v>
      </c>
      <c r="AJ562">
        <v>3689.2</v>
      </c>
      <c r="AK562">
        <v>3745.6499999999996</v>
      </c>
      <c r="AL562">
        <v>3802.1</v>
      </c>
    </row>
    <row r="563" spans="1:38" x14ac:dyDescent="0.3">
      <c r="A563">
        <v>2000</v>
      </c>
      <c r="B563">
        <v>212.37</v>
      </c>
      <c r="C563" t="s">
        <v>20</v>
      </c>
      <c r="D563">
        <v>2.4468999999999999</v>
      </c>
      <c r="E563">
        <v>6.3365999999999998</v>
      </c>
      <c r="F563" t="s">
        <v>21</v>
      </c>
      <c r="G563" t="s">
        <v>21</v>
      </c>
      <c r="H563" t="s">
        <v>21</v>
      </c>
      <c r="I563" t="s">
        <v>21</v>
      </c>
      <c r="J563" t="s">
        <v>21</v>
      </c>
      <c r="K563" t="s">
        <v>21</v>
      </c>
      <c r="L563">
        <v>6.3969199999999997</v>
      </c>
      <c r="M563">
        <v>6.4119999999999999</v>
      </c>
      <c r="N563">
        <v>6.4920400000000003</v>
      </c>
      <c r="O563">
        <v>6.5453999999999999</v>
      </c>
      <c r="P563">
        <v>6.5924800000000001</v>
      </c>
      <c r="Q563">
        <v>6.6631</v>
      </c>
      <c r="R563">
        <v>6.6844000000000001</v>
      </c>
      <c r="S563">
        <v>6.7270000000000003</v>
      </c>
      <c r="T563">
        <v>6.7695999999999996</v>
      </c>
      <c r="U563">
        <v>6.8480800000000004</v>
      </c>
      <c r="V563">
        <v>6.8677000000000001</v>
      </c>
      <c r="W563">
        <v>6.9228399999999999</v>
      </c>
      <c r="X563">
        <v>6.9596</v>
      </c>
      <c r="Y563">
        <v>6.9943999999999997</v>
      </c>
      <c r="Z563">
        <v>7.0465999999999998</v>
      </c>
      <c r="AA563">
        <v>7.0632000000000001</v>
      </c>
      <c r="AB563">
        <v>7.1295999999999999</v>
      </c>
      <c r="AC563">
        <v>7.2092000000000001</v>
      </c>
      <c r="AD563">
        <v>7.2858999999999998</v>
      </c>
      <c r="AE563">
        <v>7.3601999999999999</v>
      </c>
      <c r="AF563">
        <v>7.4322999999999997</v>
      </c>
      <c r="AG563">
        <v>7.5014500000000002</v>
      </c>
      <c r="AH563">
        <v>7.5705999999999998</v>
      </c>
      <c r="AI563">
        <v>7.6364000000000001</v>
      </c>
      <c r="AJ563">
        <v>7.7022000000000004</v>
      </c>
      <c r="AK563">
        <v>7.7650500000000005</v>
      </c>
      <c r="AL563">
        <v>7.8278999999999996</v>
      </c>
    </row>
    <row r="564" spans="1:38" x14ac:dyDescent="0.3">
      <c r="A564">
        <v>2100</v>
      </c>
      <c r="B564">
        <v>214.85</v>
      </c>
      <c r="C564" t="s">
        <v>0</v>
      </c>
      <c r="D564">
        <v>1.181</v>
      </c>
      <c r="E564">
        <v>94.89</v>
      </c>
      <c r="F564" t="s">
        <v>21</v>
      </c>
      <c r="G564" t="s">
        <v>21</v>
      </c>
      <c r="H564" t="s">
        <v>21</v>
      </c>
      <c r="I564" t="s">
        <v>21</v>
      </c>
      <c r="J564" t="s">
        <v>21</v>
      </c>
      <c r="K564" t="s">
        <v>21</v>
      </c>
      <c r="L564">
        <v>97.49560000000001</v>
      </c>
      <c r="M564">
        <v>98.147000000000006</v>
      </c>
      <c r="N564">
        <v>102.64280000000001</v>
      </c>
      <c r="O564">
        <v>105.64</v>
      </c>
      <c r="P564">
        <v>108.42</v>
      </c>
      <c r="Q564">
        <v>112.59</v>
      </c>
      <c r="R564">
        <v>113.908</v>
      </c>
      <c r="S564">
        <v>116.54400000000001</v>
      </c>
      <c r="T564">
        <v>119.18</v>
      </c>
      <c r="U564">
        <v>124.26</v>
      </c>
      <c r="V564">
        <v>125.53</v>
      </c>
      <c r="W564">
        <v>129.232</v>
      </c>
      <c r="X564">
        <v>131.69999999999999</v>
      </c>
      <c r="Y564">
        <v>134.124</v>
      </c>
      <c r="Z564">
        <v>137.76</v>
      </c>
      <c r="AA564">
        <v>138.95399999999998</v>
      </c>
      <c r="AB564">
        <v>143.72999999999999</v>
      </c>
      <c r="AC564">
        <v>149.63</v>
      </c>
      <c r="AD564">
        <v>155.47999999999999</v>
      </c>
      <c r="AE564">
        <v>161.28</v>
      </c>
      <c r="AF564">
        <v>167.06</v>
      </c>
      <c r="AG564">
        <v>172.79500000000002</v>
      </c>
      <c r="AH564">
        <v>178.53</v>
      </c>
      <c r="AI564">
        <v>184.22</v>
      </c>
      <c r="AJ564">
        <v>189.91</v>
      </c>
      <c r="AK564">
        <v>195.565</v>
      </c>
      <c r="AL564">
        <v>201.22</v>
      </c>
    </row>
    <row r="565" spans="1:38" x14ac:dyDescent="0.3">
      <c r="A565">
        <v>2100</v>
      </c>
      <c r="B565">
        <v>214.85</v>
      </c>
      <c r="C565" t="s">
        <v>18</v>
      </c>
      <c r="D565">
        <v>917.47900000000004</v>
      </c>
      <c r="E565">
        <v>2598.9</v>
      </c>
      <c r="F565" t="s">
        <v>21</v>
      </c>
      <c r="G565" t="s">
        <v>21</v>
      </c>
      <c r="H565" t="s">
        <v>21</v>
      </c>
      <c r="I565" t="s">
        <v>21</v>
      </c>
      <c r="J565" t="s">
        <v>21</v>
      </c>
      <c r="K565" t="s">
        <v>21</v>
      </c>
      <c r="L565">
        <v>2617.7000000000003</v>
      </c>
      <c r="M565">
        <v>2622.4</v>
      </c>
      <c r="N565">
        <v>2654.62</v>
      </c>
      <c r="O565">
        <v>2676.1</v>
      </c>
      <c r="P565">
        <v>2695.82</v>
      </c>
      <c r="Q565">
        <v>2725.4</v>
      </c>
      <c r="R565">
        <v>2734.7000000000003</v>
      </c>
      <c r="S565">
        <v>2753.3</v>
      </c>
      <c r="T565">
        <v>2771.9</v>
      </c>
      <c r="U565">
        <v>2807.58</v>
      </c>
      <c r="V565">
        <v>2816.5</v>
      </c>
      <c r="W565">
        <v>2842.6</v>
      </c>
      <c r="X565">
        <v>2860</v>
      </c>
      <c r="Y565">
        <v>2877.12</v>
      </c>
      <c r="Z565">
        <v>2902.8</v>
      </c>
      <c r="AA565">
        <v>2911.3</v>
      </c>
      <c r="AB565">
        <v>2945.3</v>
      </c>
      <c r="AC565">
        <v>2987.6</v>
      </c>
      <c r="AD565">
        <v>3030</v>
      </c>
      <c r="AE565">
        <v>3072.6</v>
      </c>
      <c r="AF565">
        <v>3115.3</v>
      </c>
      <c r="AG565">
        <v>3158.55</v>
      </c>
      <c r="AH565">
        <v>3201.8</v>
      </c>
      <c r="AI565">
        <v>3245.7</v>
      </c>
      <c r="AJ565">
        <v>3289.6</v>
      </c>
      <c r="AK565">
        <v>3334.25</v>
      </c>
      <c r="AL565">
        <v>3378.9</v>
      </c>
    </row>
    <row r="566" spans="1:38" x14ac:dyDescent="0.3">
      <c r="A566">
        <v>2100</v>
      </c>
      <c r="B566">
        <v>214.85</v>
      </c>
      <c r="C566" t="s">
        <v>19</v>
      </c>
      <c r="D566">
        <v>919.95899999999995</v>
      </c>
      <c r="E566">
        <v>2798.2</v>
      </c>
      <c r="F566" t="s">
        <v>21</v>
      </c>
      <c r="G566" t="s">
        <v>21</v>
      </c>
      <c r="H566" t="s">
        <v>21</v>
      </c>
      <c r="I566" t="s">
        <v>21</v>
      </c>
      <c r="J566" t="s">
        <v>21</v>
      </c>
      <c r="K566" t="s">
        <v>21</v>
      </c>
      <c r="L566">
        <v>2822.44</v>
      </c>
      <c r="M566">
        <v>2828.5</v>
      </c>
      <c r="N566">
        <v>2870.14</v>
      </c>
      <c r="O566">
        <v>2897.9</v>
      </c>
      <c r="P566">
        <v>2923.5</v>
      </c>
      <c r="Q566">
        <v>2961.9</v>
      </c>
      <c r="R566">
        <v>2973.96</v>
      </c>
      <c r="S566">
        <v>2998.08</v>
      </c>
      <c r="T566">
        <v>3022.2</v>
      </c>
      <c r="U566">
        <v>3068.52</v>
      </c>
      <c r="V566">
        <v>3080.1</v>
      </c>
      <c r="W566">
        <v>3114</v>
      </c>
      <c r="X566">
        <v>3136.6</v>
      </c>
      <c r="Y566">
        <v>3158.7999999999997</v>
      </c>
      <c r="Z566">
        <v>3192.1</v>
      </c>
      <c r="AA566">
        <v>3203.1</v>
      </c>
      <c r="AB566">
        <v>3247.1</v>
      </c>
      <c r="AC566">
        <v>3301.8</v>
      </c>
      <c r="AD566">
        <v>3356.5</v>
      </c>
      <c r="AE566">
        <v>3411.3</v>
      </c>
      <c r="AF566">
        <v>3466.2</v>
      </c>
      <c r="AG566">
        <v>3521.45</v>
      </c>
      <c r="AH566">
        <v>3576.7</v>
      </c>
      <c r="AI566">
        <v>3632.55</v>
      </c>
      <c r="AJ566">
        <v>3688.4</v>
      </c>
      <c r="AK566">
        <v>3744.9</v>
      </c>
      <c r="AL566">
        <v>3801.4</v>
      </c>
    </row>
    <row r="567" spans="1:38" x14ac:dyDescent="0.3">
      <c r="A567">
        <v>2100</v>
      </c>
      <c r="B567">
        <v>214.85</v>
      </c>
      <c r="C567" t="s">
        <v>20</v>
      </c>
      <c r="D567">
        <v>2.4700000000000002</v>
      </c>
      <c r="E567">
        <v>6.3186999999999998</v>
      </c>
      <c r="F567" t="s">
        <v>21</v>
      </c>
      <c r="G567" t="s">
        <v>21</v>
      </c>
      <c r="H567" t="s">
        <v>21</v>
      </c>
      <c r="I567" t="s">
        <v>21</v>
      </c>
      <c r="J567" t="s">
        <v>21</v>
      </c>
      <c r="K567" t="s">
        <v>21</v>
      </c>
      <c r="L567">
        <v>6.3679000000000006</v>
      </c>
      <c r="M567">
        <v>6.3802000000000003</v>
      </c>
      <c r="N567">
        <v>6.4618000000000002</v>
      </c>
      <c r="O567">
        <v>6.5162000000000004</v>
      </c>
      <c r="P567">
        <v>6.5639600000000007</v>
      </c>
      <c r="Q567">
        <v>6.6356000000000002</v>
      </c>
      <c r="R567">
        <v>6.6571199999999999</v>
      </c>
      <c r="S567">
        <v>6.7001600000000003</v>
      </c>
      <c r="T567">
        <v>6.7431999999999999</v>
      </c>
      <c r="U567">
        <v>6.8224</v>
      </c>
      <c r="V567">
        <v>6.8422000000000001</v>
      </c>
      <c r="W567">
        <v>6.8977000000000004</v>
      </c>
      <c r="X567">
        <v>6.9347000000000003</v>
      </c>
      <c r="Y567">
        <v>6.9696199999999999</v>
      </c>
      <c r="Z567">
        <v>7.0220000000000002</v>
      </c>
      <c r="AA567">
        <v>7.0386600000000001</v>
      </c>
      <c r="AB567">
        <v>7.1052999999999997</v>
      </c>
      <c r="AC567">
        <v>7.1851000000000003</v>
      </c>
      <c r="AD567">
        <v>7.2621000000000002</v>
      </c>
      <c r="AE567">
        <v>7.3365</v>
      </c>
      <c r="AF567">
        <v>7.4086999999999996</v>
      </c>
      <c r="AG567">
        <v>7.4779499999999999</v>
      </c>
      <c r="AH567">
        <v>7.5472000000000001</v>
      </c>
      <c r="AI567">
        <v>7.6130499999999994</v>
      </c>
      <c r="AJ567">
        <v>7.6788999999999996</v>
      </c>
      <c r="AK567">
        <v>7.7418499999999995</v>
      </c>
      <c r="AL567">
        <v>7.8048000000000002</v>
      </c>
    </row>
    <row r="568" spans="1:38" x14ac:dyDescent="0.3">
      <c r="A568">
        <v>2200</v>
      </c>
      <c r="B568">
        <v>217.24</v>
      </c>
      <c r="C568" t="s">
        <v>0</v>
      </c>
      <c r="D568">
        <v>1.1850000000000001</v>
      </c>
      <c r="E568">
        <v>90.652000000000001</v>
      </c>
      <c r="F568" t="s">
        <v>21</v>
      </c>
      <c r="G568" t="s">
        <v>21</v>
      </c>
      <c r="H568" t="s">
        <v>21</v>
      </c>
      <c r="I568" t="s">
        <v>21</v>
      </c>
      <c r="J568" t="s">
        <v>21</v>
      </c>
      <c r="K568" t="s">
        <v>21</v>
      </c>
      <c r="L568">
        <v>92.583999999999989</v>
      </c>
      <c r="M568">
        <v>93.066999999999993</v>
      </c>
      <c r="N568">
        <v>97.436799999999991</v>
      </c>
      <c r="O568">
        <v>100.35</v>
      </c>
      <c r="P568">
        <v>103.038</v>
      </c>
      <c r="Q568">
        <v>107.07</v>
      </c>
      <c r="R568">
        <v>108.342</v>
      </c>
      <c r="S568">
        <v>110.886</v>
      </c>
      <c r="T568">
        <v>113.43</v>
      </c>
      <c r="U568">
        <v>118.31</v>
      </c>
      <c r="V568">
        <v>119.53</v>
      </c>
      <c r="W568">
        <v>123.09399999999999</v>
      </c>
      <c r="X568">
        <v>125.47</v>
      </c>
      <c r="Y568">
        <v>127.794</v>
      </c>
      <c r="Z568">
        <v>131.28</v>
      </c>
      <c r="AA568">
        <v>132.42400000000001</v>
      </c>
      <c r="AB568">
        <v>137</v>
      </c>
      <c r="AC568">
        <v>142.65</v>
      </c>
      <c r="AD568">
        <v>148.25</v>
      </c>
      <c r="AE568">
        <v>153.81</v>
      </c>
      <c r="AF568">
        <v>159.34</v>
      </c>
      <c r="AG568">
        <v>164.82</v>
      </c>
      <c r="AH568">
        <v>170.3</v>
      </c>
      <c r="AI568">
        <v>175.745</v>
      </c>
      <c r="AJ568">
        <v>181.19</v>
      </c>
      <c r="AK568">
        <v>186.595</v>
      </c>
      <c r="AL568">
        <v>192</v>
      </c>
    </row>
    <row r="569" spans="1:38" x14ac:dyDescent="0.3">
      <c r="A569">
        <v>2200</v>
      </c>
      <c r="B569">
        <v>217.24</v>
      </c>
      <c r="C569" t="s">
        <v>18</v>
      </c>
      <c r="D569">
        <v>928.346</v>
      </c>
      <c r="E569">
        <v>2599.6</v>
      </c>
      <c r="F569" t="s">
        <v>21</v>
      </c>
      <c r="G569" t="s">
        <v>21</v>
      </c>
      <c r="H569" t="s">
        <v>21</v>
      </c>
      <c r="I569" t="s">
        <v>21</v>
      </c>
      <c r="J569" t="s">
        <v>21</v>
      </c>
      <c r="K569" t="s">
        <v>21</v>
      </c>
      <c r="L569">
        <v>2614.2400000000002</v>
      </c>
      <c r="M569">
        <v>2617.9</v>
      </c>
      <c r="N569">
        <v>2650.7799999999997</v>
      </c>
      <c r="O569">
        <v>2672.7</v>
      </c>
      <c r="P569">
        <v>2692.7</v>
      </c>
      <c r="Q569">
        <v>2722.7</v>
      </c>
      <c r="R569">
        <v>2732.1</v>
      </c>
      <c r="S569">
        <v>2750.8999999999996</v>
      </c>
      <c r="T569">
        <v>2769.7</v>
      </c>
      <c r="U569">
        <v>2805.7</v>
      </c>
      <c r="V569">
        <v>2814.7</v>
      </c>
      <c r="W569">
        <v>2840.98</v>
      </c>
      <c r="X569">
        <v>2858.5</v>
      </c>
      <c r="Y569">
        <v>2875.7</v>
      </c>
      <c r="Z569">
        <v>2901.5</v>
      </c>
      <c r="AA569">
        <v>2910.02</v>
      </c>
      <c r="AB569">
        <v>2944.1</v>
      </c>
      <c r="AC569">
        <v>2986.6</v>
      </c>
      <c r="AD569">
        <v>3029.1</v>
      </c>
      <c r="AE569">
        <v>3071.7</v>
      </c>
      <c r="AF569">
        <v>3114.5</v>
      </c>
      <c r="AG569">
        <v>3157.8</v>
      </c>
      <c r="AH569">
        <v>3201.1</v>
      </c>
      <c r="AI569">
        <v>3245.05</v>
      </c>
      <c r="AJ569">
        <v>3289</v>
      </c>
      <c r="AK569">
        <v>3333.65</v>
      </c>
      <c r="AL569">
        <v>3378.3</v>
      </c>
    </row>
    <row r="570" spans="1:38" x14ac:dyDescent="0.3">
      <c r="A570">
        <v>2200</v>
      </c>
      <c r="B570">
        <v>217.24</v>
      </c>
      <c r="C570" t="s">
        <v>19</v>
      </c>
      <c r="D570">
        <v>930.95299999999997</v>
      </c>
      <c r="E570">
        <v>2799.1</v>
      </c>
      <c r="F570" t="s">
        <v>21</v>
      </c>
      <c r="G570" t="s">
        <v>21</v>
      </c>
      <c r="H570" t="s">
        <v>21</v>
      </c>
      <c r="I570" t="s">
        <v>21</v>
      </c>
      <c r="J570" t="s">
        <v>21</v>
      </c>
      <c r="K570" t="s">
        <v>21</v>
      </c>
      <c r="L570">
        <v>2817.98</v>
      </c>
      <c r="M570">
        <v>2822.7</v>
      </c>
      <c r="N570">
        <v>2865.12</v>
      </c>
      <c r="O570">
        <v>2893.4</v>
      </c>
      <c r="P570">
        <v>2919.36</v>
      </c>
      <c r="Q570">
        <v>2958.3</v>
      </c>
      <c r="R570">
        <v>2970.5</v>
      </c>
      <c r="S570">
        <v>2994.9</v>
      </c>
      <c r="T570">
        <v>3019.3</v>
      </c>
      <c r="U570">
        <v>3066.02</v>
      </c>
      <c r="V570">
        <v>3077.7</v>
      </c>
      <c r="W570">
        <v>3111.7799999999997</v>
      </c>
      <c r="X570">
        <v>3134.5</v>
      </c>
      <c r="Y570">
        <v>3156.82</v>
      </c>
      <c r="Z570">
        <v>3190.3</v>
      </c>
      <c r="AA570">
        <v>3201.34</v>
      </c>
      <c r="AB570">
        <v>3245.5</v>
      </c>
      <c r="AC570">
        <v>3300.4</v>
      </c>
      <c r="AD570">
        <v>3355.2</v>
      </c>
      <c r="AE570">
        <v>3410.1</v>
      </c>
      <c r="AF570">
        <v>3465.1</v>
      </c>
      <c r="AG570">
        <v>3520.3999999999996</v>
      </c>
      <c r="AH570">
        <v>3575.7</v>
      </c>
      <c r="AI570">
        <v>3631.6499999999996</v>
      </c>
      <c r="AJ570">
        <v>3687.6</v>
      </c>
      <c r="AK570">
        <v>3744.1499999999996</v>
      </c>
      <c r="AL570">
        <v>3800.7</v>
      </c>
    </row>
    <row r="571" spans="1:38" x14ac:dyDescent="0.3">
      <c r="A571">
        <v>2200</v>
      </c>
      <c r="B571">
        <v>217.24</v>
      </c>
      <c r="C571" t="s">
        <v>20</v>
      </c>
      <c r="D571">
        <v>2.4922</v>
      </c>
      <c r="E571">
        <v>6.3014999999999999</v>
      </c>
      <c r="F571" t="s">
        <v>21</v>
      </c>
      <c r="G571" t="s">
        <v>21</v>
      </c>
      <c r="H571" t="s">
        <v>21</v>
      </c>
      <c r="I571" t="s">
        <v>21</v>
      </c>
      <c r="J571" t="s">
        <v>21</v>
      </c>
      <c r="K571" t="s">
        <v>21</v>
      </c>
      <c r="L571">
        <v>6.3396599999999994</v>
      </c>
      <c r="M571">
        <v>6.3491999999999997</v>
      </c>
      <c r="N571">
        <v>6.4324199999999996</v>
      </c>
      <c r="O571">
        <v>6.4878999999999998</v>
      </c>
      <c r="P571">
        <v>6.5363799999999994</v>
      </c>
      <c r="Q571">
        <v>6.6090999999999998</v>
      </c>
      <c r="R571">
        <v>6.6308600000000002</v>
      </c>
      <c r="S571">
        <v>6.6743800000000002</v>
      </c>
      <c r="T571">
        <v>6.7179000000000002</v>
      </c>
      <c r="U571">
        <v>6.7977400000000001</v>
      </c>
      <c r="V571">
        <v>6.8177000000000003</v>
      </c>
      <c r="W571">
        <v>6.8734999999999999</v>
      </c>
      <c r="X571">
        <v>6.9107000000000003</v>
      </c>
      <c r="Y571">
        <v>6.9458200000000003</v>
      </c>
      <c r="Z571">
        <v>6.9984999999999999</v>
      </c>
      <c r="AA571">
        <v>7.0152200000000002</v>
      </c>
      <c r="AB571">
        <v>7.0820999999999996</v>
      </c>
      <c r="AC571">
        <v>7.1620999999999997</v>
      </c>
      <c r="AD571">
        <v>7.2393000000000001</v>
      </c>
      <c r="AE571">
        <v>7.3139000000000003</v>
      </c>
      <c r="AF571">
        <v>7.3861999999999997</v>
      </c>
      <c r="AG571">
        <v>7.4555499999999997</v>
      </c>
      <c r="AH571">
        <v>7.5248999999999997</v>
      </c>
      <c r="AI571">
        <v>7.5908499999999997</v>
      </c>
      <c r="AJ571">
        <v>7.6567999999999996</v>
      </c>
      <c r="AK571">
        <v>7.7197499999999994</v>
      </c>
      <c r="AL571">
        <v>7.7827000000000002</v>
      </c>
    </row>
    <row r="572" spans="1:38" x14ac:dyDescent="0.3">
      <c r="A572">
        <v>2300</v>
      </c>
      <c r="B572">
        <v>219.55</v>
      </c>
      <c r="C572" t="s">
        <v>0</v>
      </c>
      <c r="D572">
        <v>1.1890000000000001</v>
      </c>
      <c r="E572">
        <v>86.769000000000005</v>
      </c>
      <c r="F572" t="s">
        <v>21</v>
      </c>
      <c r="G572" t="s">
        <v>21</v>
      </c>
      <c r="H572" t="s">
        <v>21</v>
      </c>
      <c r="I572" t="s">
        <v>21</v>
      </c>
      <c r="J572" t="s">
        <v>21</v>
      </c>
      <c r="K572" t="s">
        <v>21</v>
      </c>
      <c r="L572">
        <v>88.089799999999997</v>
      </c>
      <c r="M572">
        <v>88.42</v>
      </c>
      <c r="N572">
        <v>92.67580000000001</v>
      </c>
      <c r="O572">
        <v>95.513000000000005</v>
      </c>
      <c r="P572">
        <v>98.119799999999998</v>
      </c>
      <c r="Q572">
        <v>102.03</v>
      </c>
      <c r="R572">
        <v>103.26</v>
      </c>
      <c r="S572">
        <v>105.72</v>
      </c>
      <c r="T572">
        <v>108.18</v>
      </c>
      <c r="U572">
        <v>112.884</v>
      </c>
      <c r="V572">
        <v>114.06</v>
      </c>
      <c r="W572">
        <v>117.486</v>
      </c>
      <c r="X572">
        <v>119.77</v>
      </c>
      <c r="Y572">
        <v>122.006</v>
      </c>
      <c r="Z572">
        <v>125.36</v>
      </c>
      <c r="AA572">
        <v>126.458</v>
      </c>
      <c r="AB572">
        <v>130.85</v>
      </c>
      <c r="AC572">
        <v>136.28</v>
      </c>
      <c r="AD572">
        <v>141.65</v>
      </c>
      <c r="AE572">
        <v>146.99</v>
      </c>
      <c r="AF572">
        <v>152.28</v>
      </c>
      <c r="AG572">
        <v>157.54000000000002</v>
      </c>
      <c r="AH572">
        <v>162.80000000000001</v>
      </c>
      <c r="AI572">
        <v>168.01</v>
      </c>
      <c r="AJ572">
        <v>173.22</v>
      </c>
      <c r="AK572">
        <v>178.4</v>
      </c>
      <c r="AL572">
        <v>183.58</v>
      </c>
    </row>
    <row r="573" spans="1:38" x14ac:dyDescent="0.3">
      <c r="A573">
        <v>2300</v>
      </c>
      <c r="B573">
        <v>219.55</v>
      </c>
      <c r="C573" t="s">
        <v>18</v>
      </c>
      <c r="D573">
        <v>938.86599999999999</v>
      </c>
      <c r="E573">
        <v>2600.1999999999998</v>
      </c>
      <c r="F573" t="s">
        <v>21</v>
      </c>
      <c r="G573" t="s">
        <v>21</v>
      </c>
      <c r="H573" t="s">
        <v>21</v>
      </c>
      <c r="I573" t="s">
        <v>21</v>
      </c>
      <c r="J573" t="s">
        <v>21</v>
      </c>
      <c r="K573" t="s">
        <v>21</v>
      </c>
      <c r="L573">
        <v>2610.6800000000003</v>
      </c>
      <c r="M573">
        <v>2613.3000000000002</v>
      </c>
      <c r="N573">
        <v>2646.84</v>
      </c>
      <c r="O573">
        <v>2669.2</v>
      </c>
      <c r="P573">
        <v>2689.52</v>
      </c>
      <c r="Q573">
        <v>2720</v>
      </c>
      <c r="R573">
        <v>2729.52</v>
      </c>
      <c r="S573">
        <v>2748.56</v>
      </c>
      <c r="T573">
        <v>2767.6</v>
      </c>
      <c r="U573">
        <v>2803.84</v>
      </c>
      <c r="V573">
        <v>2812.9</v>
      </c>
      <c r="W573">
        <v>2839.36</v>
      </c>
      <c r="X573">
        <v>2857</v>
      </c>
      <c r="Y573">
        <v>2874.2799999999997</v>
      </c>
      <c r="Z573">
        <v>2900.2</v>
      </c>
      <c r="AA573">
        <v>2908.74</v>
      </c>
      <c r="AB573">
        <v>2942.9</v>
      </c>
      <c r="AC573">
        <v>2985.5</v>
      </c>
      <c r="AD573">
        <v>3028.1</v>
      </c>
      <c r="AE573">
        <v>3070.8</v>
      </c>
      <c r="AF573">
        <v>3113.7</v>
      </c>
      <c r="AG573">
        <v>3157.05</v>
      </c>
      <c r="AH573">
        <v>3200.4</v>
      </c>
      <c r="AI573">
        <v>3244.3500000000004</v>
      </c>
      <c r="AJ573">
        <v>3288.3</v>
      </c>
      <c r="AK573">
        <v>3333.05</v>
      </c>
      <c r="AL573">
        <v>3377.8</v>
      </c>
    </row>
    <row r="574" spans="1:38" x14ac:dyDescent="0.3">
      <c r="A574">
        <v>2300</v>
      </c>
      <c r="B574">
        <v>219.55</v>
      </c>
      <c r="C574" t="s">
        <v>19</v>
      </c>
      <c r="D574">
        <v>941.601</v>
      </c>
      <c r="E574">
        <v>2799.8</v>
      </c>
      <c r="F574" t="s">
        <v>21</v>
      </c>
      <c r="G574" t="s">
        <v>21</v>
      </c>
      <c r="H574" t="s">
        <v>21</v>
      </c>
      <c r="I574" t="s">
        <v>21</v>
      </c>
      <c r="J574" t="s">
        <v>21</v>
      </c>
      <c r="K574" t="s">
        <v>21</v>
      </c>
      <c r="L574">
        <v>2813.3199999999997</v>
      </c>
      <c r="M574">
        <v>2816.7</v>
      </c>
      <c r="N574">
        <v>2860.02</v>
      </c>
      <c r="O574">
        <v>2888.9</v>
      </c>
      <c r="P574">
        <v>2915.22</v>
      </c>
      <c r="Q574">
        <v>2954.7</v>
      </c>
      <c r="R574">
        <v>2967.04</v>
      </c>
      <c r="S574">
        <v>2991.7200000000003</v>
      </c>
      <c r="T574">
        <v>3016.4</v>
      </c>
      <c r="U574">
        <v>3063.52</v>
      </c>
      <c r="V574">
        <v>3075.3</v>
      </c>
      <c r="W574">
        <v>3109.56</v>
      </c>
      <c r="X574">
        <v>3132.4</v>
      </c>
      <c r="Y574">
        <v>3154.84</v>
      </c>
      <c r="Z574">
        <v>3188.5</v>
      </c>
      <c r="AA574">
        <v>3199.58</v>
      </c>
      <c r="AB574">
        <v>3243.9</v>
      </c>
      <c r="AC574">
        <v>3299</v>
      </c>
      <c r="AD574">
        <v>3353.9</v>
      </c>
      <c r="AE574">
        <v>3408.9</v>
      </c>
      <c r="AF574">
        <v>3464</v>
      </c>
      <c r="AG574">
        <v>3519.4</v>
      </c>
      <c r="AH574">
        <v>3574.8</v>
      </c>
      <c r="AI574">
        <v>3630.75</v>
      </c>
      <c r="AJ574">
        <v>3686.7</v>
      </c>
      <c r="AK574">
        <v>3743.35</v>
      </c>
      <c r="AL574">
        <v>3800</v>
      </c>
    </row>
    <row r="575" spans="1:38" x14ac:dyDescent="0.3">
      <c r="A575">
        <v>2300</v>
      </c>
      <c r="B575">
        <v>219.55</v>
      </c>
      <c r="C575" t="s">
        <v>20</v>
      </c>
      <c r="D575">
        <v>2.5135999999999998</v>
      </c>
      <c r="E575">
        <v>6.2849000000000004</v>
      </c>
      <c r="F575" t="s">
        <v>21</v>
      </c>
      <c r="G575" t="s">
        <v>21</v>
      </c>
      <c r="H575" t="s">
        <v>21</v>
      </c>
      <c r="I575" t="s">
        <v>21</v>
      </c>
      <c r="J575" t="s">
        <v>21</v>
      </c>
      <c r="K575" t="s">
        <v>21</v>
      </c>
      <c r="L575">
        <v>6.3121799999999997</v>
      </c>
      <c r="M575">
        <v>6.319</v>
      </c>
      <c r="N575">
        <v>6.4039000000000001</v>
      </c>
      <c r="O575">
        <v>6.4604999999999997</v>
      </c>
      <c r="P575">
        <v>6.5096999999999996</v>
      </c>
      <c r="Q575">
        <v>6.5834999999999999</v>
      </c>
      <c r="R575">
        <v>6.6055000000000001</v>
      </c>
      <c r="S575">
        <v>6.6494999999999997</v>
      </c>
      <c r="T575">
        <v>6.6935000000000002</v>
      </c>
      <c r="U575">
        <v>6.7739799999999999</v>
      </c>
      <c r="V575">
        <v>6.7941000000000003</v>
      </c>
      <c r="W575">
        <v>6.8502599999999996</v>
      </c>
      <c r="X575">
        <v>6.8876999999999997</v>
      </c>
      <c r="Y575">
        <v>6.9229799999999999</v>
      </c>
      <c r="Z575">
        <v>6.9759000000000002</v>
      </c>
      <c r="AA575">
        <v>6.99268</v>
      </c>
      <c r="AB575">
        <v>7.0598000000000001</v>
      </c>
      <c r="AC575">
        <v>7.1401000000000003</v>
      </c>
      <c r="AD575">
        <v>7.2173999999999996</v>
      </c>
      <c r="AE575">
        <v>7.2922000000000002</v>
      </c>
      <c r="AF575">
        <v>7.3646000000000003</v>
      </c>
      <c r="AG575">
        <v>7.43405</v>
      </c>
      <c r="AH575">
        <v>7.5034999999999998</v>
      </c>
      <c r="AI575">
        <v>7.5694999999999997</v>
      </c>
      <c r="AJ575">
        <v>7.6355000000000004</v>
      </c>
      <c r="AK575">
        <v>7.69855</v>
      </c>
      <c r="AL575">
        <v>7.7615999999999996</v>
      </c>
    </row>
    <row r="576" spans="1:38" x14ac:dyDescent="0.3">
      <c r="A576">
        <v>2400</v>
      </c>
      <c r="B576">
        <v>221.78</v>
      </c>
      <c r="C576" t="s">
        <v>0</v>
      </c>
      <c r="D576">
        <v>1.1930000000000001</v>
      </c>
      <c r="E576">
        <v>83.198999999999998</v>
      </c>
      <c r="F576" t="s">
        <v>21</v>
      </c>
      <c r="G576" t="s">
        <v>21</v>
      </c>
      <c r="H576" t="s">
        <v>21</v>
      </c>
      <c r="I576" t="s">
        <v>21</v>
      </c>
      <c r="J576" t="s">
        <v>21</v>
      </c>
      <c r="K576" t="s">
        <v>21</v>
      </c>
      <c r="L576" t="s">
        <v>21</v>
      </c>
      <c r="M576">
        <v>84.149000000000001</v>
      </c>
      <c r="N576">
        <v>88.304600000000008</v>
      </c>
      <c r="O576">
        <v>91.075000000000003</v>
      </c>
      <c r="P576">
        <v>93.609400000000008</v>
      </c>
      <c r="Q576">
        <v>97.411000000000001</v>
      </c>
      <c r="R576">
        <v>98.600800000000007</v>
      </c>
      <c r="S576">
        <v>100.9804</v>
      </c>
      <c r="T576">
        <v>103.36</v>
      </c>
      <c r="U576">
        <v>107.91199999999999</v>
      </c>
      <c r="V576">
        <v>109.05</v>
      </c>
      <c r="W576">
        <v>112.35</v>
      </c>
      <c r="X576">
        <v>114.55</v>
      </c>
      <c r="Y576">
        <v>116.702</v>
      </c>
      <c r="Z576">
        <v>119.93</v>
      </c>
      <c r="AA576">
        <v>120.988</v>
      </c>
      <c r="AB576">
        <v>125.22</v>
      </c>
      <c r="AC576">
        <v>130.44</v>
      </c>
      <c r="AD576">
        <v>135.61000000000001</v>
      </c>
      <c r="AE576">
        <v>140.72999999999999</v>
      </c>
      <c r="AF576">
        <v>145.82</v>
      </c>
      <c r="AG576">
        <v>150.88</v>
      </c>
      <c r="AH576">
        <v>155.91</v>
      </c>
      <c r="AI576">
        <v>514.53</v>
      </c>
      <c r="AJ576">
        <v>873.15</v>
      </c>
      <c r="AK576">
        <v>898.15</v>
      </c>
      <c r="AL576">
        <v>923.15</v>
      </c>
    </row>
    <row r="577" spans="1:38" x14ac:dyDescent="0.3">
      <c r="A577">
        <v>2400</v>
      </c>
      <c r="B577">
        <v>221.78</v>
      </c>
      <c r="C577" t="s">
        <v>18</v>
      </c>
      <c r="D577">
        <v>949.06600000000003</v>
      </c>
      <c r="E577">
        <v>2600.6999999999998</v>
      </c>
      <c r="F577" t="s">
        <v>21</v>
      </c>
      <c r="G577" t="s">
        <v>21</v>
      </c>
      <c r="H577" t="s">
        <v>21</v>
      </c>
      <c r="I577" t="s">
        <v>21</v>
      </c>
      <c r="J577" t="s">
        <v>21</v>
      </c>
      <c r="K577" t="s">
        <v>21</v>
      </c>
      <c r="L577" t="s">
        <v>21</v>
      </c>
      <c r="M577">
        <v>2608.6</v>
      </c>
      <c r="N577">
        <v>2642.7999999999997</v>
      </c>
      <c r="O577">
        <v>2665.6</v>
      </c>
      <c r="P577">
        <v>2686.28</v>
      </c>
      <c r="Q577">
        <v>2717.3</v>
      </c>
      <c r="R577">
        <v>2726.92</v>
      </c>
      <c r="S577">
        <v>2746.16</v>
      </c>
      <c r="T577">
        <v>2765.4</v>
      </c>
      <c r="U577">
        <v>2801.96</v>
      </c>
      <c r="V577">
        <v>2811.1</v>
      </c>
      <c r="W577">
        <v>2837.68</v>
      </c>
      <c r="X577">
        <v>2855.4</v>
      </c>
      <c r="Y577">
        <v>2872.76</v>
      </c>
      <c r="Z577">
        <v>2898.8</v>
      </c>
      <c r="AA577">
        <v>2907.38</v>
      </c>
      <c r="AB577">
        <v>2941.7</v>
      </c>
      <c r="AC577">
        <v>2984.5</v>
      </c>
      <c r="AD577">
        <v>3027.1</v>
      </c>
      <c r="AE577">
        <v>3069.9</v>
      </c>
      <c r="AF577">
        <v>3112.9</v>
      </c>
      <c r="AG577">
        <v>3156.1</v>
      </c>
      <c r="AH577">
        <v>3199.6</v>
      </c>
      <c r="AI577">
        <v>1682.76</v>
      </c>
      <c r="AJ577">
        <v>165.92</v>
      </c>
      <c r="AK577">
        <v>170.89</v>
      </c>
      <c r="AL577">
        <v>175.86</v>
      </c>
    </row>
    <row r="578" spans="1:38" x14ac:dyDescent="0.3">
      <c r="A578">
        <v>2400</v>
      </c>
      <c r="B578">
        <v>221.78</v>
      </c>
      <c r="C578" t="s">
        <v>19</v>
      </c>
      <c r="D578">
        <v>951.92899999999997</v>
      </c>
      <c r="E578">
        <v>2800.4</v>
      </c>
      <c r="F578" t="s">
        <v>21</v>
      </c>
      <c r="G578" t="s">
        <v>21</v>
      </c>
      <c r="H578" t="s">
        <v>21</v>
      </c>
      <c r="I578" t="s">
        <v>21</v>
      </c>
      <c r="J578" t="s">
        <v>21</v>
      </c>
      <c r="K578" t="s">
        <v>21</v>
      </c>
      <c r="L578" t="s">
        <v>21</v>
      </c>
      <c r="M578">
        <v>2810.6</v>
      </c>
      <c r="N578">
        <v>2854.7599999999998</v>
      </c>
      <c r="O578">
        <v>2884.2</v>
      </c>
      <c r="P578">
        <v>2910.96</v>
      </c>
      <c r="Q578">
        <v>2951.1</v>
      </c>
      <c r="R578">
        <v>2963.56</v>
      </c>
      <c r="S578">
        <v>2988.48</v>
      </c>
      <c r="T578">
        <v>3013.4</v>
      </c>
      <c r="U578">
        <v>3060.92</v>
      </c>
      <c r="V578">
        <v>3072.8</v>
      </c>
      <c r="W578">
        <v>3107.36</v>
      </c>
      <c r="X578">
        <v>3130.4</v>
      </c>
      <c r="Y578">
        <v>3152.92</v>
      </c>
      <c r="Z578">
        <v>3186.7</v>
      </c>
      <c r="AA578">
        <v>3197.8199999999997</v>
      </c>
      <c r="AB578">
        <v>3242.3</v>
      </c>
      <c r="AC578">
        <v>3297.5</v>
      </c>
      <c r="AD578">
        <v>3352.6</v>
      </c>
      <c r="AE578">
        <v>3407.7</v>
      </c>
      <c r="AF578">
        <v>3462.9</v>
      </c>
      <c r="AG578">
        <v>3518.2</v>
      </c>
      <c r="AH578">
        <v>3573.8</v>
      </c>
      <c r="AI578">
        <v>3430.75</v>
      </c>
      <c r="AJ578">
        <v>3287.7</v>
      </c>
      <c r="AK578">
        <v>3332.45</v>
      </c>
      <c r="AL578">
        <v>3377.2</v>
      </c>
    </row>
    <row r="579" spans="1:38" x14ac:dyDescent="0.3">
      <c r="A579">
        <v>2400</v>
      </c>
      <c r="B579">
        <v>221.78</v>
      </c>
      <c r="C579" t="s">
        <v>20</v>
      </c>
      <c r="D579">
        <v>2.5343</v>
      </c>
      <c r="E579">
        <v>6.2690000000000001</v>
      </c>
      <c r="F579" t="s">
        <v>21</v>
      </c>
      <c r="G579" t="s">
        <v>21</v>
      </c>
      <c r="H579" t="s">
        <v>21</v>
      </c>
      <c r="I579" t="s">
        <v>21</v>
      </c>
      <c r="J579" t="s">
        <v>21</v>
      </c>
      <c r="K579" t="s">
        <v>21</v>
      </c>
      <c r="L579" t="s">
        <v>21</v>
      </c>
      <c r="M579">
        <v>6.2893999999999997</v>
      </c>
      <c r="N579">
        <v>6.3760399999999997</v>
      </c>
      <c r="O579">
        <v>6.4337999999999997</v>
      </c>
      <c r="P579">
        <v>6.4837199999999999</v>
      </c>
      <c r="Q579">
        <v>6.5586000000000002</v>
      </c>
      <c r="R579">
        <v>6.5808600000000004</v>
      </c>
      <c r="S579">
        <v>6.6253799999999998</v>
      </c>
      <c r="T579">
        <v>6.6699000000000002</v>
      </c>
      <c r="U579">
        <v>6.7511000000000001</v>
      </c>
      <c r="V579">
        <v>6.7713999999999999</v>
      </c>
      <c r="W579">
        <v>6.8279199999999998</v>
      </c>
      <c r="X579">
        <v>6.8655999999999997</v>
      </c>
      <c r="Y579">
        <v>6.9010400000000001</v>
      </c>
      <c r="Z579">
        <v>6.9542000000000002</v>
      </c>
      <c r="AA579">
        <v>6.9710400000000003</v>
      </c>
      <c r="AB579">
        <v>7.0384000000000002</v>
      </c>
      <c r="AC579">
        <v>7.1189</v>
      </c>
      <c r="AD579">
        <v>7.1963999999999997</v>
      </c>
      <c r="AE579">
        <v>7.2713000000000001</v>
      </c>
      <c r="AF579">
        <v>7.3438999999999997</v>
      </c>
      <c r="AG579">
        <v>7.4143999999999997</v>
      </c>
      <c r="AH579">
        <v>7.4829999999999997</v>
      </c>
      <c r="AI579">
        <v>1846.6914999999997</v>
      </c>
      <c r="AJ579">
        <v>3685.9</v>
      </c>
      <c r="AK579">
        <v>3742.6000000000004</v>
      </c>
      <c r="AL579">
        <v>3799.3</v>
      </c>
    </row>
    <row r="580" spans="1:38" x14ac:dyDescent="0.3">
      <c r="A580">
        <v>2500</v>
      </c>
      <c r="B580">
        <v>223.94</v>
      </c>
      <c r="C580" t="s">
        <v>0</v>
      </c>
      <c r="D580">
        <v>1.1970000000000001</v>
      </c>
      <c r="E580">
        <v>79.905000000000001</v>
      </c>
      <c r="F580" t="s">
        <v>21</v>
      </c>
      <c r="G580" t="s">
        <v>21</v>
      </c>
      <c r="H580" t="s">
        <v>21</v>
      </c>
      <c r="I580" t="s">
        <v>21</v>
      </c>
      <c r="J580" t="s">
        <v>21</v>
      </c>
      <c r="K580" t="s">
        <v>21</v>
      </c>
      <c r="L580" t="s">
        <v>21</v>
      </c>
      <c r="M580">
        <v>80.209999999999994</v>
      </c>
      <c r="N580">
        <v>84.274999999999991</v>
      </c>
      <c r="O580">
        <v>86.984999999999999</v>
      </c>
      <c r="P580">
        <v>89.452600000000004</v>
      </c>
      <c r="Q580">
        <v>93.153999999999996</v>
      </c>
      <c r="R580">
        <v>94.308199999999999</v>
      </c>
      <c r="S580">
        <v>96.616600000000005</v>
      </c>
      <c r="T580">
        <v>98.924999999999997</v>
      </c>
      <c r="U580">
        <v>103.32900000000001</v>
      </c>
      <c r="V580">
        <v>104.43</v>
      </c>
      <c r="W580">
        <v>107.622</v>
      </c>
      <c r="X580">
        <v>109.75</v>
      </c>
      <c r="Y580">
        <v>111.82599999999999</v>
      </c>
      <c r="Z580">
        <v>114.94</v>
      </c>
      <c r="AA580">
        <v>115.96</v>
      </c>
      <c r="AB580">
        <v>120.04</v>
      </c>
      <c r="AC580">
        <v>125.07</v>
      </c>
      <c r="AD580">
        <v>130.04</v>
      </c>
      <c r="AE580">
        <v>134.97</v>
      </c>
      <c r="AF580">
        <v>139.87</v>
      </c>
      <c r="AG580">
        <v>144.74</v>
      </c>
      <c r="AH580">
        <v>149.58000000000001</v>
      </c>
      <c r="AI580">
        <v>78.5976</v>
      </c>
      <c r="AJ580">
        <v>7.6151999999999997</v>
      </c>
      <c r="AK580">
        <v>7.6783000000000001</v>
      </c>
      <c r="AL580">
        <v>7.7413999999999996</v>
      </c>
    </row>
    <row r="581" spans="1:38" x14ac:dyDescent="0.3">
      <c r="A581">
        <v>2500</v>
      </c>
      <c r="B581">
        <v>223.94</v>
      </c>
      <c r="C581" t="s">
        <v>18</v>
      </c>
      <c r="D581">
        <v>958.96900000000005</v>
      </c>
      <c r="E581">
        <v>2601.1999999999998</v>
      </c>
      <c r="F581" t="s">
        <v>21</v>
      </c>
      <c r="G581" t="s">
        <v>21</v>
      </c>
      <c r="H581" t="s">
        <v>21</v>
      </c>
      <c r="I581" t="s">
        <v>21</v>
      </c>
      <c r="J581" t="s">
        <v>21</v>
      </c>
      <c r="K581" t="s">
        <v>21</v>
      </c>
      <c r="L581" t="s">
        <v>21</v>
      </c>
      <c r="M581">
        <v>2603.8000000000002</v>
      </c>
      <c r="N581">
        <v>2638.7200000000003</v>
      </c>
      <c r="O581">
        <v>2662</v>
      </c>
      <c r="P581">
        <v>2683</v>
      </c>
      <c r="Q581">
        <v>2714.5</v>
      </c>
      <c r="R581">
        <v>2724.22</v>
      </c>
      <c r="S581">
        <v>2743.66</v>
      </c>
      <c r="T581">
        <v>2763.1</v>
      </c>
      <c r="U581">
        <v>2800.06</v>
      </c>
      <c r="V581">
        <v>2809.3</v>
      </c>
      <c r="W581">
        <v>2836.06</v>
      </c>
      <c r="X581">
        <v>2853.9</v>
      </c>
      <c r="Y581">
        <v>2871.34</v>
      </c>
      <c r="Z581">
        <v>2897.5</v>
      </c>
      <c r="AA581">
        <v>2906.12</v>
      </c>
      <c r="AB581">
        <v>2940.6</v>
      </c>
      <c r="AC581">
        <v>2983.4</v>
      </c>
      <c r="AD581">
        <v>3026.2</v>
      </c>
      <c r="AE581">
        <v>3069</v>
      </c>
      <c r="AF581">
        <v>3112.1</v>
      </c>
      <c r="AG581">
        <v>3155.4</v>
      </c>
      <c r="AH581">
        <v>3198.9</v>
      </c>
      <c r="AI581">
        <v>1679.0550000000001</v>
      </c>
      <c r="AJ581">
        <v>159.21</v>
      </c>
      <c r="AK581">
        <v>163.98500000000001</v>
      </c>
      <c r="AL581">
        <v>168.76</v>
      </c>
    </row>
    <row r="582" spans="1:38" x14ac:dyDescent="0.3">
      <c r="A582">
        <v>2500</v>
      </c>
      <c r="B582">
        <v>223.94</v>
      </c>
      <c r="C582" t="s">
        <v>19</v>
      </c>
      <c r="D582">
        <v>961.96199999999999</v>
      </c>
      <c r="E582">
        <v>2800.9</v>
      </c>
      <c r="F582" t="s">
        <v>21</v>
      </c>
      <c r="G582" t="s">
        <v>21</v>
      </c>
      <c r="H582" t="s">
        <v>21</v>
      </c>
      <c r="I582" t="s">
        <v>21</v>
      </c>
      <c r="J582" t="s">
        <v>21</v>
      </c>
      <c r="K582" t="s">
        <v>21</v>
      </c>
      <c r="L582" t="s">
        <v>21</v>
      </c>
      <c r="M582">
        <v>2804.3</v>
      </c>
      <c r="N582">
        <v>2849.42</v>
      </c>
      <c r="O582">
        <v>2879.5</v>
      </c>
      <c r="P582">
        <v>2906.66</v>
      </c>
      <c r="Q582">
        <v>2947.4</v>
      </c>
      <c r="R582">
        <v>2960</v>
      </c>
      <c r="S582">
        <v>2985.2</v>
      </c>
      <c r="T582">
        <v>3010.4</v>
      </c>
      <c r="U582">
        <v>3058.4</v>
      </c>
      <c r="V582">
        <v>3070.4</v>
      </c>
      <c r="W582">
        <v>3105.08</v>
      </c>
      <c r="X582">
        <v>3128.2</v>
      </c>
      <c r="Y582">
        <v>3150.84</v>
      </c>
      <c r="Z582">
        <v>3184.8</v>
      </c>
      <c r="AA582">
        <v>3195.98</v>
      </c>
      <c r="AB582">
        <v>3240.7</v>
      </c>
      <c r="AC582">
        <v>3296.1</v>
      </c>
      <c r="AD582">
        <v>3351.3</v>
      </c>
      <c r="AE582">
        <v>3406.5</v>
      </c>
      <c r="AF582">
        <v>3461.7</v>
      </c>
      <c r="AG582">
        <v>3517.2</v>
      </c>
      <c r="AH582">
        <v>3572.9</v>
      </c>
      <c r="AI582">
        <v>3430</v>
      </c>
      <c r="AJ582">
        <v>3287.1</v>
      </c>
      <c r="AK582">
        <v>3331.8999999999996</v>
      </c>
      <c r="AL582">
        <v>3376.7</v>
      </c>
    </row>
    <row r="583" spans="1:38" x14ac:dyDescent="0.3">
      <c r="A583">
        <v>2500</v>
      </c>
      <c r="B583">
        <v>223.94</v>
      </c>
      <c r="C583" t="s">
        <v>20</v>
      </c>
      <c r="D583">
        <v>2.5543</v>
      </c>
      <c r="E583">
        <v>6.2535999999999996</v>
      </c>
      <c r="F583" t="s">
        <v>21</v>
      </c>
      <c r="G583" t="s">
        <v>21</v>
      </c>
      <c r="H583" t="s">
        <v>21</v>
      </c>
      <c r="I583" t="s">
        <v>21</v>
      </c>
      <c r="J583" t="s">
        <v>21</v>
      </c>
      <c r="K583" t="s">
        <v>21</v>
      </c>
      <c r="L583" t="s">
        <v>21</v>
      </c>
      <c r="M583">
        <v>6.2603999999999997</v>
      </c>
      <c r="N583">
        <v>6.3487799999999996</v>
      </c>
      <c r="O583">
        <v>6.4077000000000002</v>
      </c>
      <c r="P583">
        <v>6.4584200000000003</v>
      </c>
      <c r="Q583">
        <v>6.5345000000000004</v>
      </c>
      <c r="R583">
        <v>6.5570000000000004</v>
      </c>
      <c r="S583">
        <v>6.6020000000000003</v>
      </c>
      <c r="T583">
        <v>6.6470000000000002</v>
      </c>
      <c r="U583">
        <v>6.7289199999999996</v>
      </c>
      <c r="V583">
        <v>6.7493999999999996</v>
      </c>
      <c r="W583">
        <v>6.8062800000000001</v>
      </c>
      <c r="X583">
        <v>6.8441999999999998</v>
      </c>
      <c r="Y583">
        <v>6.8798399999999997</v>
      </c>
      <c r="Z583">
        <v>6.9333</v>
      </c>
      <c r="AA583">
        <v>6.9501999999999997</v>
      </c>
      <c r="AB583">
        <v>7.0178000000000003</v>
      </c>
      <c r="AC583">
        <v>7.0986000000000002</v>
      </c>
      <c r="AD583">
        <v>7.1763000000000003</v>
      </c>
      <c r="AE583">
        <v>7.2512999999999996</v>
      </c>
      <c r="AF583">
        <v>7.3239999999999998</v>
      </c>
      <c r="AG583">
        <v>7.3945999999999996</v>
      </c>
      <c r="AH583">
        <v>7.4633000000000003</v>
      </c>
      <c r="AI583">
        <v>1846.2816499999999</v>
      </c>
      <c r="AJ583">
        <v>3685.1</v>
      </c>
      <c r="AK583">
        <v>3741.85</v>
      </c>
      <c r="AL583">
        <v>3798.6</v>
      </c>
    </row>
    <row r="584" spans="1:38" x14ac:dyDescent="0.3">
      <c r="A584">
        <v>2600</v>
      </c>
      <c r="B584">
        <v>226.04</v>
      </c>
      <c r="C584" t="s">
        <v>0</v>
      </c>
      <c r="D584">
        <v>1.2010000000000001</v>
      </c>
      <c r="E584">
        <v>76.855999999999995</v>
      </c>
      <c r="F584" t="s">
        <v>21</v>
      </c>
      <c r="G584" t="s">
        <v>21</v>
      </c>
      <c r="H584" t="s">
        <v>21</v>
      </c>
      <c r="I584" t="s">
        <v>21</v>
      </c>
      <c r="J584" t="s">
        <v>21</v>
      </c>
      <c r="K584" t="s">
        <v>21</v>
      </c>
      <c r="L584" t="s">
        <v>21</v>
      </c>
      <c r="M584" t="s">
        <v>21</v>
      </c>
      <c r="N584">
        <v>80.55516694490818</v>
      </c>
      <c r="O584">
        <v>83.204999999999998</v>
      </c>
      <c r="P584">
        <v>85.611000000000004</v>
      </c>
      <c r="Q584">
        <v>89.22</v>
      </c>
      <c r="R584">
        <v>90.341999999999999</v>
      </c>
      <c r="S584">
        <v>92.585999999999999</v>
      </c>
      <c r="T584">
        <v>94.83</v>
      </c>
      <c r="U584">
        <v>99.102000000000004</v>
      </c>
      <c r="V584">
        <v>100.17</v>
      </c>
      <c r="W584">
        <v>103.25999999999999</v>
      </c>
      <c r="X584">
        <v>105.32</v>
      </c>
      <c r="Y584">
        <v>107.324</v>
      </c>
      <c r="Z584">
        <v>110.33</v>
      </c>
      <c r="AA584">
        <v>111.316</v>
      </c>
      <c r="AB584">
        <v>115.26</v>
      </c>
      <c r="AC584">
        <v>120.11</v>
      </c>
      <c r="AD584">
        <v>124.91</v>
      </c>
      <c r="AE584">
        <v>129.66</v>
      </c>
      <c r="AF584">
        <v>134.38</v>
      </c>
      <c r="AG584">
        <v>139.07</v>
      </c>
      <c r="AH584">
        <v>143.74</v>
      </c>
      <c r="AI584">
        <v>75.6678</v>
      </c>
      <c r="AJ584">
        <v>7.5956000000000001</v>
      </c>
      <c r="AK584">
        <v>7.6588000000000003</v>
      </c>
      <c r="AL584">
        <v>7.7220000000000004</v>
      </c>
    </row>
    <row r="585" spans="1:38" x14ac:dyDescent="0.3">
      <c r="A585">
        <v>2600</v>
      </c>
      <c r="B585">
        <v>226.04</v>
      </c>
      <c r="C585" t="s">
        <v>18</v>
      </c>
      <c r="D585">
        <v>968.59699999999998</v>
      </c>
      <c r="E585">
        <v>2601.5</v>
      </c>
      <c r="F585" t="s">
        <v>21</v>
      </c>
      <c r="G585" t="s">
        <v>21</v>
      </c>
      <c r="H585" t="s">
        <v>21</v>
      </c>
      <c r="I585" t="s">
        <v>21</v>
      </c>
      <c r="J585" t="s">
        <v>21</v>
      </c>
      <c r="K585" t="s">
        <v>21</v>
      </c>
      <c r="L585" t="s">
        <v>21</v>
      </c>
      <c r="M585" t="s">
        <v>21</v>
      </c>
      <c r="N585">
        <v>2634.6520868113521</v>
      </c>
      <c r="O585">
        <v>2658.4</v>
      </c>
      <c r="P585">
        <v>2679.72</v>
      </c>
      <c r="Q585">
        <v>2711.7</v>
      </c>
      <c r="R585">
        <v>2721.54</v>
      </c>
      <c r="S585">
        <v>2741.2200000000003</v>
      </c>
      <c r="T585">
        <v>2760.9</v>
      </c>
      <c r="U585">
        <v>2798.1</v>
      </c>
      <c r="V585">
        <v>2807.4</v>
      </c>
      <c r="W585">
        <v>2834.34</v>
      </c>
      <c r="X585">
        <v>2852.3</v>
      </c>
      <c r="Y585">
        <v>2869.82</v>
      </c>
      <c r="Z585">
        <v>2896.1</v>
      </c>
      <c r="AA585">
        <v>2904.7599999999998</v>
      </c>
      <c r="AB585">
        <v>2939.4</v>
      </c>
      <c r="AC585">
        <v>2982.3</v>
      </c>
      <c r="AD585">
        <v>3025.2</v>
      </c>
      <c r="AE585">
        <v>3068.1</v>
      </c>
      <c r="AF585">
        <v>3111.2</v>
      </c>
      <c r="AG585">
        <v>3154.6</v>
      </c>
      <c r="AH585">
        <v>3198.2</v>
      </c>
      <c r="AI585">
        <v>1675.605</v>
      </c>
      <c r="AJ585">
        <v>153.01</v>
      </c>
      <c r="AK585">
        <v>157.61000000000001</v>
      </c>
      <c r="AL585">
        <v>162.21</v>
      </c>
    </row>
    <row r="586" spans="1:38" x14ac:dyDescent="0.3">
      <c r="A586">
        <v>2600</v>
      </c>
      <c r="B586">
        <v>226.04</v>
      </c>
      <c r="C586" t="s">
        <v>19</v>
      </c>
      <c r="D586">
        <v>971.72</v>
      </c>
      <c r="E586">
        <v>2801.4</v>
      </c>
      <c r="F586" t="s">
        <v>21</v>
      </c>
      <c r="G586" t="s">
        <v>21</v>
      </c>
      <c r="H586" t="s">
        <v>21</v>
      </c>
      <c r="I586" t="s">
        <v>21</v>
      </c>
      <c r="J586" t="s">
        <v>21</v>
      </c>
      <c r="K586" t="s">
        <v>21</v>
      </c>
      <c r="L586" t="s">
        <v>21</v>
      </c>
      <c r="M586" t="s">
        <v>21</v>
      </c>
      <c r="N586">
        <v>2844.1073455759597</v>
      </c>
      <c r="O586">
        <v>2874.7</v>
      </c>
      <c r="P586">
        <v>2902.2599999999998</v>
      </c>
      <c r="Q586">
        <v>2943.6</v>
      </c>
      <c r="R586">
        <v>2956.36</v>
      </c>
      <c r="S586">
        <v>2981.88</v>
      </c>
      <c r="T586">
        <v>3007.4</v>
      </c>
      <c r="U586">
        <v>3055.8</v>
      </c>
      <c r="V586">
        <v>3067.9</v>
      </c>
      <c r="W586">
        <v>3102.82</v>
      </c>
      <c r="X586">
        <v>3126.1</v>
      </c>
      <c r="Y586">
        <v>3148.86</v>
      </c>
      <c r="Z586">
        <v>3183</v>
      </c>
      <c r="AA586">
        <v>3194.2</v>
      </c>
      <c r="AB586">
        <v>3239</v>
      </c>
      <c r="AC586">
        <v>3294.6</v>
      </c>
      <c r="AD586">
        <v>3349.9</v>
      </c>
      <c r="AE586">
        <v>3405.3</v>
      </c>
      <c r="AF586">
        <v>3460.6</v>
      </c>
      <c r="AG586">
        <v>3516.2</v>
      </c>
      <c r="AH586">
        <v>3571.9</v>
      </c>
      <c r="AI586">
        <v>3429.2</v>
      </c>
      <c r="AJ586">
        <v>3286.5</v>
      </c>
      <c r="AK586">
        <v>3331.3</v>
      </c>
      <c r="AL586">
        <v>3376.1</v>
      </c>
    </row>
    <row r="587" spans="1:38" x14ac:dyDescent="0.3">
      <c r="A587">
        <v>2600</v>
      </c>
      <c r="B587">
        <v>226.04</v>
      </c>
      <c r="C587" t="s">
        <v>20</v>
      </c>
      <c r="D587">
        <v>2.5735999999999999</v>
      </c>
      <c r="E587">
        <v>6.2386999999999997</v>
      </c>
      <c r="F587" t="s">
        <v>21</v>
      </c>
      <c r="G587" t="s">
        <v>21</v>
      </c>
      <c r="H587" t="s">
        <v>21</v>
      </c>
      <c r="I587" t="s">
        <v>21</v>
      </c>
      <c r="J587" t="s">
        <v>21</v>
      </c>
      <c r="K587" t="s">
        <v>21</v>
      </c>
      <c r="L587" t="s">
        <v>21</v>
      </c>
      <c r="M587" t="s">
        <v>21</v>
      </c>
      <c r="N587">
        <v>6.3223667779632722</v>
      </c>
      <c r="O587">
        <v>6.3822999999999999</v>
      </c>
      <c r="P587">
        <v>6.4337799999999996</v>
      </c>
      <c r="Q587">
        <v>6.5110000000000001</v>
      </c>
      <c r="R587">
        <v>6.5337800000000001</v>
      </c>
      <c r="S587">
        <v>6.5793400000000002</v>
      </c>
      <c r="T587">
        <v>6.6249000000000002</v>
      </c>
      <c r="U587">
        <v>6.7074600000000002</v>
      </c>
      <c r="V587">
        <v>6.7281000000000004</v>
      </c>
      <c r="W587">
        <v>6.7854000000000001</v>
      </c>
      <c r="X587">
        <v>6.8235999999999999</v>
      </c>
      <c r="Y587">
        <v>6.8593999999999999</v>
      </c>
      <c r="Z587">
        <v>6.9131</v>
      </c>
      <c r="AA587">
        <v>6.9300600000000001</v>
      </c>
      <c r="AB587">
        <v>6.9978999999999996</v>
      </c>
      <c r="AC587">
        <v>7.0789</v>
      </c>
      <c r="AD587">
        <v>7.1567999999999996</v>
      </c>
      <c r="AE587">
        <v>7.2320000000000002</v>
      </c>
      <c r="AF587">
        <v>7.3048000000000002</v>
      </c>
      <c r="AG587">
        <v>7.3754999999999997</v>
      </c>
      <c r="AH587">
        <v>7.4443000000000001</v>
      </c>
      <c r="AI587">
        <v>1845.8721500000001</v>
      </c>
      <c r="AJ587">
        <v>3684.3</v>
      </c>
      <c r="AK587">
        <v>3741.1</v>
      </c>
      <c r="AL587">
        <v>3797.9</v>
      </c>
    </row>
    <row r="588" spans="1:38" x14ac:dyDescent="0.3">
      <c r="A588">
        <v>2700</v>
      </c>
      <c r="B588">
        <v>228.07</v>
      </c>
      <c r="C588" t="s">
        <v>0</v>
      </c>
      <c r="D588">
        <v>1.2050000000000001</v>
      </c>
      <c r="E588">
        <v>74.025000000000006</v>
      </c>
      <c r="F588" t="s">
        <v>21</v>
      </c>
      <c r="G588" t="s">
        <v>21</v>
      </c>
      <c r="H588" t="s">
        <v>21</v>
      </c>
      <c r="I588" t="s">
        <v>21</v>
      </c>
      <c r="J588" t="s">
        <v>21</v>
      </c>
      <c r="K588" t="s">
        <v>21</v>
      </c>
      <c r="L588" t="s">
        <v>21</v>
      </c>
      <c r="M588" t="s">
        <v>21</v>
      </c>
      <c r="N588">
        <v>77.111132694938433</v>
      </c>
      <c r="O588">
        <v>79.697999999999993</v>
      </c>
      <c r="P588">
        <v>82.0488</v>
      </c>
      <c r="Q588">
        <v>85.575000000000003</v>
      </c>
      <c r="R588">
        <v>86.667200000000008</v>
      </c>
      <c r="S588">
        <v>88.851600000000005</v>
      </c>
      <c r="T588">
        <v>91.036000000000001</v>
      </c>
      <c r="U588">
        <v>95.181600000000003</v>
      </c>
      <c r="V588">
        <v>96.218000000000004</v>
      </c>
      <c r="W588">
        <v>99.213200000000001</v>
      </c>
      <c r="X588">
        <v>101.21</v>
      </c>
      <c r="Y588">
        <v>103.154</v>
      </c>
      <c r="Z588">
        <v>106.07</v>
      </c>
      <c r="AA588">
        <v>107.02199999999999</v>
      </c>
      <c r="AB588">
        <v>110.83</v>
      </c>
      <c r="AC588">
        <v>115.52</v>
      </c>
      <c r="AD588">
        <v>120.15</v>
      </c>
      <c r="AE588">
        <v>124.74</v>
      </c>
      <c r="AF588">
        <v>129.30000000000001</v>
      </c>
      <c r="AG588">
        <v>133.82</v>
      </c>
      <c r="AH588">
        <v>138.33000000000001</v>
      </c>
      <c r="AI588">
        <v>72.953400000000002</v>
      </c>
      <c r="AJ588">
        <v>7.5768000000000004</v>
      </c>
      <c r="AK588">
        <v>7.6400500000000005</v>
      </c>
      <c r="AL588">
        <v>7.7032999999999996</v>
      </c>
    </row>
    <row r="589" spans="1:38" x14ac:dyDescent="0.3">
      <c r="A589">
        <v>2700</v>
      </c>
      <c r="B589">
        <v>228.07</v>
      </c>
      <c r="C589" t="s">
        <v>18</v>
      </c>
      <c r="D589">
        <v>977.96799999999996</v>
      </c>
      <c r="E589">
        <v>2601.8000000000002</v>
      </c>
      <c r="F589" t="s">
        <v>21</v>
      </c>
      <c r="G589" t="s">
        <v>21</v>
      </c>
      <c r="H589" t="s">
        <v>21</v>
      </c>
      <c r="I589" t="s">
        <v>21</v>
      </c>
      <c r="J589" t="s">
        <v>21</v>
      </c>
      <c r="K589" t="s">
        <v>21</v>
      </c>
      <c r="L589" t="s">
        <v>21</v>
      </c>
      <c r="M589" t="s">
        <v>21</v>
      </c>
      <c r="N589">
        <v>2630.5777929776564</v>
      </c>
      <c r="O589">
        <v>2654.7</v>
      </c>
      <c r="P589">
        <v>2676.34</v>
      </c>
      <c r="Q589">
        <v>2708.8</v>
      </c>
      <c r="R589">
        <v>2718.76</v>
      </c>
      <c r="S589">
        <v>2738.6800000000003</v>
      </c>
      <c r="T589">
        <v>2758.6</v>
      </c>
      <c r="U589">
        <v>2796.2</v>
      </c>
      <c r="V589">
        <v>2805.6</v>
      </c>
      <c r="W589">
        <v>2832.66</v>
      </c>
      <c r="X589">
        <v>2850.7</v>
      </c>
      <c r="Y589">
        <v>2868.34</v>
      </c>
      <c r="Z589">
        <v>2894.8</v>
      </c>
      <c r="AA589">
        <v>2903.48</v>
      </c>
      <c r="AB589">
        <v>2938.2</v>
      </c>
      <c r="AC589">
        <v>2981.2</v>
      </c>
      <c r="AD589">
        <v>3024.2</v>
      </c>
      <c r="AE589">
        <v>3067.2</v>
      </c>
      <c r="AF589">
        <v>3110.4</v>
      </c>
      <c r="AG589">
        <v>3153.8</v>
      </c>
      <c r="AH589">
        <v>3197.5</v>
      </c>
      <c r="AI589">
        <v>1672.385</v>
      </c>
      <c r="AJ589">
        <v>147.27000000000001</v>
      </c>
      <c r="AK589">
        <v>151.70499999999998</v>
      </c>
      <c r="AL589">
        <v>156.13999999999999</v>
      </c>
    </row>
    <row r="590" spans="1:38" x14ac:dyDescent="0.3">
      <c r="A590">
        <v>2700</v>
      </c>
      <c r="B590">
        <v>228.07</v>
      </c>
      <c r="C590" t="s">
        <v>19</v>
      </c>
      <c r="D590">
        <v>981.22199999999998</v>
      </c>
      <c r="E590">
        <v>2801.7</v>
      </c>
      <c r="F590" t="s">
        <v>21</v>
      </c>
      <c r="G590" t="s">
        <v>21</v>
      </c>
      <c r="H590" t="s">
        <v>21</v>
      </c>
      <c r="I590" t="s">
        <v>21</v>
      </c>
      <c r="J590" t="s">
        <v>21</v>
      </c>
      <c r="K590" t="s">
        <v>21</v>
      </c>
      <c r="L590" t="s">
        <v>21</v>
      </c>
      <c r="M590" t="s">
        <v>21</v>
      </c>
      <c r="N590">
        <v>2838.8010487916094</v>
      </c>
      <c r="O590">
        <v>2869.9</v>
      </c>
      <c r="P590">
        <v>2897.86</v>
      </c>
      <c r="Q590">
        <v>2939.8</v>
      </c>
      <c r="R590">
        <v>2952.7200000000003</v>
      </c>
      <c r="S590">
        <v>2978.5600000000004</v>
      </c>
      <c r="T590">
        <v>3004.4</v>
      </c>
      <c r="U590">
        <v>3053.2000000000003</v>
      </c>
      <c r="V590">
        <v>3065.4</v>
      </c>
      <c r="W590">
        <v>3100.56</v>
      </c>
      <c r="X590">
        <v>3124</v>
      </c>
      <c r="Y590">
        <v>3146.88</v>
      </c>
      <c r="Z590">
        <v>3181.2</v>
      </c>
      <c r="AA590">
        <v>3192.44</v>
      </c>
      <c r="AB590">
        <v>3237.4</v>
      </c>
      <c r="AC590">
        <v>3293.1</v>
      </c>
      <c r="AD590">
        <v>3348.6</v>
      </c>
      <c r="AE590">
        <v>3404</v>
      </c>
      <c r="AF590">
        <v>3459.5</v>
      </c>
      <c r="AG590">
        <v>3515.2</v>
      </c>
      <c r="AH590">
        <v>3571</v>
      </c>
      <c r="AI590">
        <v>3428.4</v>
      </c>
      <c r="AJ590">
        <v>3285.8</v>
      </c>
      <c r="AK590">
        <v>3330.7</v>
      </c>
      <c r="AL590">
        <v>3375.6</v>
      </c>
    </row>
    <row r="591" spans="1:38" x14ac:dyDescent="0.3">
      <c r="A591">
        <v>2700</v>
      </c>
      <c r="B591">
        <v>228.07</v>
      </c>
      <c r="C591" t="s">
        <v>20</v>
      </c>
      <c r="D591">
        <v>2.5924</v>
      </c>
      <c r="E591">
        <v>6.2244000000000002</v>
      </c>
      <c r="F591" t="s">
        <v>21</v>
      </c>
      <c r="G591" t="s">
        <v>21</v>
      </c>
      <c r="H591" t="s">
        <v>21</v>
      </c>
      <c r="I591" t="s">
        <v>21</v>
      </c>
      <c r="J591" t="s">
        <v>21</v>
      </c>
      <c r="K591" t="s">
        <v>21</v>
      </c>
      <c r="L591" t="s">
        <v>21</v>
      </c>
      <c r="M591" t="s">
        <v>21</v>
      </c>
      <c r="N591">
        <v>6.2968068855449157</v>
      </c>
      <c r="O591">
        <v>6.3574999999999999</v>
      </c>
      <c r="P591">
        <v>6.4097799999999996</v>
      </c>
      <c r="Q591">
        <v>6.4882</v>
      </c>
      <c r="R591">
        <v>6.5112399999999999</v>
      </c>
      <c r="S591">
        <v>6.5573199999999998</v>
      </c>
      <c r="T591">
        <v>6.6033999999999997</v>
      </c>
      <c r="U591">
        <v>6.68668</v>
      </c>
      <c r="V591">
        <v>6.7074999999999996</v>
      </c>
      <c r="W591">
        <v>6.7651599999999998</v>
      </c>
      <c r="X591">
        <v>6.8036000000000003</v>
      </c>
      <c r="Y591">
        <v>6.8395600000000005</v>
      </c>
      <c r="Z591">
        <v>6.8935000000000004</v>
      </c>
      <c r="AA591">
        <v>6.9105400000000001</v>
      </c>
      <c r="AB591">
        <v>6.9786999999999999</v>
      </c>
      <c r="AC591">
        <v>7.06</v>
      </c>
      <c r="AD591">
        <v>7.1380999999999997</v>
      </c>
      <c r="AE591">
        <v>7.2134</v>
      </c>
      <c r="AF591">
        <v>7.2862999999999998</v>
      </c>
      <c r="AG591">
        <v>7.3571</v>
      </c>
      <c r="AH591">
        <v>7.4260000000000002</v>
      </c>
      <c r="AI591">
        <v>1845.4629999999997</v>
      </c>
      <c r="AJ591">
        <v>3683.5</v>
      </c>
      <c r="AK591">
        <v>3740.2999999999997</v>
      </c>
      <c r="AL591">
        <v>3797.1</v>
      </c>
    </row>
    <row r="592" spans="1:38" x14ac:dyDescent="0.3">
      <c r="A592">
        <v>2800</v>
      </c>
      <c r="B592">
        <v>230.05</v>
      </c>
      <c r="C592" t="s">
        <v>0</v>
      </c>
      <c r="D592">
        <v>1.2090000000000001</v>
      </c>
      <c r="E592">
        <v>71.388999999999996</v>
      </c>
      <c r="F592" t="s">
        <v>21</v>
      </c>
      <c r="G592" t="s">
        <v>21</v>
      </c>
      <c r="H592" t="s">
        <v>21</v>
      </c>
      <c r="I592" t="s">
        <v>21</v>
      </c>
      <c r="J592" t="s">
        <v>21</v>
      </c>
      <c r="K592" t="s">
        <v>21</v>
      </c>
      <c r="L592" t="s">
        <v>21</v>
      </c>
      <c r="M592" t="s">
        <v>21</v>
      </c>
      <c r="N592">
        <v>73.906674185463658</v>
      </c>
      <c r="O592">
        <v>76.436999999999998</v>
      </c>
      <c r="P592">
        <v>78.736999999999995</v>
      </c>
      <c r="Q592">
        <v>82.186999999999998</v>
      </c>
      <c r="R592">
        <v>83.251599999999996</v>
      </c>
      <c r="S592">
        <v>85.380799999999994</v>
      </c>
      <c r="T592">
        <v>87.51</v>
      </c>
      <c r="U592">
        <v>91.542000000000002</v>
      </c>
      <c r="V592">
        <v>92.55</v>
      </c>
      <c r="W592">
        <v>95.456999999999994</v>
      </c>
      <c r="X592">
        <v>97.394999999999996</v>
      </c>
      <c r="Y592">
        <v>99.277000000000001</v>
      </c>
      <c r="Z592">
        <v>102.1</v>
      </c>
      <c r="AA592">
        <v>103.02199999999999</v>
      </c>
      <c r="AB592">
        <v>106.71</v>
      </c>
      <c r="AC592">
        <v>111.25</v>
      </c>
      <c r="AD592">
        <v>115.74</v>
      </c>
      <c r="AE592">
        <v>120.17</v>
      </c>
      <c r="AF592">
        <v>124.58</v>
      </c>
      <c r="AG592">
        <v>128.94999999999999</v>
      </c>
      <c r="AH592">
        <v>133.30000000000001</v>
      </c>
      <c r="AI592">
        <v>70.429349999999999</v>
      </c>
      <c r="AJ592">
        <v>7.5587</v>
      </c>
      <c r="AK592">
        <v>7.6219999999999999</v>
      </c>
      <c r="AL592">
        <v>7.6852999999999998</v>
      </c>
    </row>
    <row r="593" spans="1:38" x14ac:dyDescent="0.3">
      <c r="A593">
        <v>2800</v>
      </c>
      <c r="B593">
        <v>230.05</v>
      </c>
      <c r="C593" t="s">
        <v>18</v>
      </c>
      <c r="D593">
        <v>987.1</v>
      </c>
      <c r="E593">
        <v>2602.1</v>
      </c>
      <c r="F593" t="s">
        <v>21</v>
      </c>
      <c r="G593" t="s">
        <v>21</v>
      </c>
      <c r="H593" t="s">
        <v>21</v>
      </c>
      <c r="I593" t="s">
        <v>21</v>
      </c>
      <c r="J593" t="s">
        <v>21</v>
      </c>
      <c r="K593" t="s">
        <v>21</v>
      </c>
      <c r="L593" t="s">
        <v>21</v>
      </c>
      <c r="M593" t="s">
        <v>21</v>
      </c>
      <c r="N593">
        <v>2626.4388471177945</v>
      </c>
      <c r="O593">
        <v>2650.9</v>
      </c>
      <c r="P593">
        <v>2672.9</v>
      </c>
      <c r="Q593">
        <v>2705.9</v>
      </c>
      <c r="R593">
        <v>2715.98</v>
      </c>
      <c r="S593">
        <v>2736.1400000000003</v>
      </c>
      <c r="T593">
        <v>2756.3</v>
      </c>
      <c r="U593">
        <v>2794.22</v>
      </c>
      <c r="V593">
        <v>2803.7</v>
      </c>
      <c r="W593">
        <v>2831</v>
      </c>
      <c r="X593">
        <v>2849.2</v>
      </c>
      <c r="Y593">
        <v>2866.88</v>
      </c>
      <c r="Z593">
        <v>2893.4</v>
      </c>
      <c r="AA593">
        <v>2902.12</v>
      </c>
      <c r="AB593">
        <v>2937</v>
      </c>
      <c r="AC593">
        <v>2980.2</v>
      </c>
      <c r="AD593">
        <v>3023.2</v>
      </c>
      <c r="AE593">
        <v>3066.3</v>
      </c>
      <c r="AF593">
        <v>3109.6</v>
      </c>
      <c r="AG593">
        <v>3153.1</v>
      </c>
      <c r="AH593">
        <v>3196.8</v>
      </c>
      <c r="AI593">
        <v>1669.3700000000001</v>
      </c>
      <c r="AJ593">
        <v>141.94</v>
      </c>
      <c r="AK593">
        <v>146.22</v>
      </c>
      <c r="AL593">
        <v>150.5</v>
      </c>
    </row>
    <row r="594" spans="1:38" x14ac:dyDescent="0.3">
      <c r="A594">
        <v>2800</v>
      </c>
      <c r="B594">
        <v>230.05</v>
      </c>
      <c r="C594" t="s">
        <v>19</v>
      </c>
      <c r="D594">
        <v>990.48500000000001</v>
      </c>
      <c r="E594">
        <v>2802</v>
      </c>
      <c r="F594" t="s">
        <v>21</v>
      </c>
      <c r="G594" t="s">
        <v>21</v>
      </c>
      <c r="H594" t="s">
        <v>21</v>
      </c>
      <c r="I594" t="s">
        <v>21</v>
      </c>
      <c r="J594" t="s">
        <v>21</v>
      </c>
      <c r="K594" t="s">
        <v>21</v>
      </c>
      <c r="L594" t="s">
        <v>21</v>
      </c>
      <c r="M594" t="s">
        <v>21</v>
      </c>
      <c r="N594">
        <v>2833.3711779448622</v>
      </c>
      <c r="O594">
        <v>2864.9</v>
      </c>
      <c r="P594">
        <v>2893.34</v>
      </c>
      <c r="Q594">
        <v>2936</v>
      </c>
      <c r="R594">
        <v>2949.06</v>
      </c>
      <c r="S594">
        <v>2975.1800000000003</v>
      </c>
      <c r="T594">
        <v>3001.3</v>
      </c>
      <c r="U594">
        <v>3050.5</v>
      </c>
      <c r="V594">
        <v>3062.8</v>
      </c>
      <c r="W594">
        <v>3098.26</v>
      </c>
      <c r="X594">
        <v>3121.9</v>
      </c>
      <c r="Y594">
        <v>3144.86</v>
      </c>
      <c r="Z594">
        <v>3179.3</v>
      </c>
      <c r="AA594">
        <v>3190.6000000000004</v>
      </c>
      <c r="AB594">
        <v>3235.8</v>
      </c>
      <c r="AC594">
        <v>3291.7</v>
      </c>
      <c r="AD594">
        <v>3347.3</v>
      </c>
      <c r="AE594">
        <v>3402.8</v>
      </c>
      <c r="AF594">
        <v>3458.4</v>
      </c>
      <c r="AG594">
        <v>3514.1</v>
      </c>
      <c r="AH594">
        <v>3570</v>
      </c>
      <c r="AI594">
        <v>3427.6</v>
      </c>
      <c r="AJ594">
        <v>3285.2</v>
      </c>
      <c r="AK594">
        <v>3330.1</v>
      </c>
      <c r="AL594">
        <v>3375</v>
      </c>
    </row>
    <row r="595" spans="1:38" x14ac:dyDescent="0.3">
      <c r="A595">
        <v>2800</v>
      </c>
      <c r="B595">
        <v>230.05</v>
      </c>
      <c r="C595" t="s">
        <v>20</v>
      </c>
      <c r="D595">
        <v>2.6105999999999998</v>
      </c>
      <c r="E595">
        <v>6.2103999999999999</v>
      </c>
      <c r="F595" t="s">
        <v>21</v>
      </c>
      <c r="G595" t="s">
        <v>21</v>
      </c>
      <c r="H595" t="s">
        <v>21</v>
      </c>
      <c r="I595" t="s">
        <v>21</v>
      </c>
      <c r="J595" t="s">
        <v>21</v>
      </c>
      <c r="K595" t="s">
        <v>21</v>
      </c>
      <c r="L595" t="s">
        <v>21</v>
      </c>
      <c r="M595" t="s">
        <v>21</v>
      </c>
      <c r="N595">
        <v>6.2715962406015038</v>
      </c>
      <c r="O595">
        <v>6.3331</v>
      </c>
      <c r="P595">
        <v>6.3862199999999998</v>
      </c>
      <c r="Q595">
        <v>6.4659000000000004</v>
      </c>
      <c r="R595">
        <v>6.4892000000000003</v>
      </c>
      <c r="S595">
        <v>6.5358000000000001</v>
      </c>
      <c r="T595">
        <v>6.5823999999999998</v>
      </c>
      <c r="U595">
        <v>6.66648</v>
      </c>
      <c r="V595">
        <v>6.6875</v>
      </c>
      <c r="W595">
        <v>6.74552</v>
      </c>
      <c r="X595">
        <v>6.7842000000000002</v>
      </c>
      <c r="Y595">
        <v>6.82036</v>
      </c>
      <c r="Z595">
        <v>6.8746</v>
      </c>
      <c r="AA595">
        <v>6.8917000000000002</v>
      </c>
      <c r="AB595">
        <v>6.9600999999999997</v>
      </c>
      <c r="AC595">
        <v>7.0415999999999999</v>
      </c>
      <c r="AD595">
        <v>7.1199000000000003</v>
      </c>
      <c r="AE595">
        <v>7.1954000000000002</v>
      </c>
      <c r="AF595">
        <v>7.2685000000000004</v>
      </c>
      <c r="AG595">
        <v>7.3394000000000004</v>
      </c>
      <c r="AH595">
        <v>7.4084000000000003</v>
      </c>
      <c r="AI595">
        <v>1845.0042000000001</v>
      </c>
      <c r="AJ595">
        <v>3682.6</v>
      </c>
      <c r="AK595">
        <v>3739.5</v>
      </c>
      <c r="AL595">
        <v>3796.4</v>
      </c>
    </row>
    <row r="596" spans="1:38" x14ac:dyDescent="0.3">
      <c r="A596">
        <v>2900</v>
      </c>
      <c r="B596">
        <v>231.97</v>
      </c>
      <c r="C596" t="s">
        <v>0</v>
      </c>
      <c r="D596">
        <v>1.2130000000000001</v>
      </c>
      <c r="E596">
        <v>68.927999999999997</v>
      </c>
      <c r="F596" t="s">
        <v>21</v>
      </c>
      <c r="G596" t="s">
        <v>21</v>
      </c>
      <c r="H596" t="s">
        <v>21</v>
      </c>
      <c r="I596" t="s">
        <v>21</v>
      </c>
      <c r="J596" t="s">
        <v>21</v>
      </c>
      <c r="K596" t="s">
        <v>21</v>
      </c>
      <c r="L596" t="s">
        <v>21</v>
      </c>
      <c r="M596" t="s">
        <v>21</v>
      </c>
      <c r="N596">
        <v>70.917462562395997</v>
      </c>
      <c r="O596">
        <v>73.394999999999996</v>
      </c>
      <c r="P596">
        <v>75.648600000000002</v>
      </c>
      <c r="Q596">
        <v>79.028999999999996</v>
      </c>
      <c r="R596">
        <v>80.068399999999997</v>
      </c>
      <c r="S596">
        <v>82.147199999999998</v>
      </c>
      <c r="T596">
        <v>84.225999999999999</v>
      </c>
      <c r="U596">
        <v>88.151600000000002</v>
      </c>
      <c r="V596">
        <v>89.132999999999996</v>
      </c>
      <c r="W596">
        <v>91.959000000000003</v>
      </c>
      <c r="X596">
        <v>93.843000000000004</v>
      </c>
      <c r="Y596">
        <v>95.671400000000006</v>
      </c>
      <c r="Z596">
        <v>98.414000000000001</v>
      </c>
      <c r="AA596">
        <v>99.307199999999995</v>
      </c>
      <c r="AB596">
        <v>102.88</v>
      </c>
      <c r="AC596">
        <v>107.28</v>
      </c>
      <c r="AD596">
        <v>111.62</v>
      </c>
      <c r="AE596">
        <v>115.92</v>
      </c>
      <c r="AF596">
        <v>120.18</v>
      </c>
      <c r="AG596">
        <v>124.42</v>
      </c>
      <c r="AH596">
        <v>128.62</v>
      </c>
      <c r="AI596">
        <v>68.080600000000004</v>
      </c>
      <c r="AJ596">
        <v>7.5411999999999999</v>
      </c>
      <c r="AK596">
        <v>7.6045499999999997</v>
      </c>
      <c r="AL596">
        <v>7.6679000000000004</v>
      </c>
    </row>
    <row r="597" spans="1:38" x14ac:dyDescent="0.3">
      <c r="A597">
        <v>2900</v>
      </c>
      <c r="B597">
        <v>231.97</v>
      </c>
      <c r="C597" t="s">
        <v>18</v>
      </c>
      <c r="D597">
        <v>996.00800000000004</v>
      </c>
      <c r="E597">
        <v>2602.3000000000002</v>
      </c>
      <c r="F597" t="s">
        <v>21</v>
      </c>
      <c r="G597" t="s">
        <v>21</v>
      </c>
      <c r="H597" t="s">
        <v>21</v>
      </c>
      <c r="I597" t="s">
        <v>21</v>
      </c>
      <c r="J597" t="s">
        <v>21</v>
      </c>
      <c r="K597" t="s">
        <v>21</v>
      </c>
      <c r="L597" t="s">
        <v>21</v>
      </c>
      <c r="M597" t="s">
        <v>21</v>
      </c>
      <c r="N597">
        <v>2622.2525235718249</v>
      </c>
      <c r="O597">
        <v>2647.1</v>
      </c>
      <c r="P597">
        <v>2669.42</v>
      </c>
      <c r="Q597">
        <v>2702.9</v>
      </c>
      <c r="R597">
        <v>2713.12</v>
      </c>
      <c r="S597">
        <v>2733.56</v>
      </c>
      <c r="T597">
        <v>2754</v>
      </c>
      <c r="U597">
        <v>2792.2400000000002</v>
      </c>
      <c r="V597">
        <v>2801.8</v>
      </c>
      <c r="W597">
        <v>2829.28</v>
      </c>
      <c r="X597">
        <v>2847.6</v>
      </c>
      <c r="Y597">
        <v>2865.36</v>
      </c>
      <c r="Z597">
        <v>2892</v>
      </c>
      <c r="AA597">
        <v>2900.76</v>
      </c>
      <c r="AB597">
        <v>2935.8</v>
      </c>
      <c r="AC597">
        <v>2979.1</v>
      </c>
      <c r="AD597">
        <v>3022.3</v>
      </c>
      <c r="AE597">
        <v>3065.5</v>
      </c>
      <c r="AF597">
        <v>3108.8</v>
      </c>
      <c r="AG597">
        <v>3152.3</v>
      </c>
      <c r="AH597">
        <v>3196.1</v>
      </c>
      <c r="AI597">
        <v>1666.5349999999999</v>
      </c>
      <c r="AJ597">
        <v>136.97</v>
      </c>
      <c r="AK597">
        <v>141.11500000000001</v>
      </c>
      <c r="AL597">
        <v>145.26</v>
      </c>
    </row>
    <row r="598" spans="1:38" x14ac:dyDescent="0.3">
      <c r="A598">
        <v>2900</v>
      </c>
      <c r="B598">
        <v>231.97</v>
      </c>
      <c r="C598" t="s">
        <v>19</v>
      </c>
      <c r="D598">
        <v>999.524</v>
      </c>
      <c r="E598">
        <v>2802.2</v>
      </c>
      <c r="F598" t="s">
        <v>21</v>
      </c>
      <c r="G598" t="s">
        <v>21</v>
      </c>
      <c r="H598" t="s">
        <v>21</v>
      </c>
      <c r="I598" t="s">
        <v>21</v>
      </c>
      <c r="J598" t="s">
        <v>21</v>
      </c>
      <c r="K598" t="s">
        <v>21</v>
      </c>
      <c r="L598" t="s">
        <v>21</v>
      </c>
      <c r="M598" t="s">
        <v>21</v>
      </c>
      <c r="N598">
        <v>2827.8977814753189</v>
      </c>
      <c r="O598">
        <v>2859.9</v>
      </c>
      <c r="P598">
        <v>2888.78</v>
      </c>
      <c r="Q598">
        <v>2932.1</v>
      </c>
      <c r="R598">
        <v>2945.3199999999997</v>
      </c>
      <c r="S598">
        <v>2971.7599999999998</v>
      </c>
      <c r="T598">
        <v>2998.2</v>
      </c>
      <c r="U598">
        <v>3047.88</v>
      </c>
      <c r="V598">
        <v>3060.3</v>
      </c>
      <c r="W598">
        <v>3095.94</v>
      </c>
      <c r="X598">
        <v>3119.7</v>
      </c>
      <c r="Y598">
        <v>3142.7799999999997</v>
      </c>
      <c r="Z598">
        <v>3177.4</v>
      </c>
      <c r="AA598">
        <v>3188.7400000000002</v>
      </c>
      <c r="AB598">
        <v>3234.1</v>
      </c>
      <c r="AC598">
        <v>3290.2</v>
      </c>
      <c r="AD598">
        <v>3346</v>
      </c>
      <c r="AE598">
        <v>3401.6</v>
      </c>
      <c r="AF598">
        <v>3457.3</v>
      </c>
      <c r="AG598">
        <v>3513.1</v>
      </c>
      <c r="AH598">
        <v>3569.1</v>
      </c>
      <c r="AI598">
        <v>3426.85</v>
      </c>
      <c r="AJ598">
        <v>3284.6</v>
      </c>
      <c r="AK598">
        <v>3329.55</v>
      </c>
      <c r="AL598">
        <v>3374.5</v>
      </c>
    </row>
    <row r="599" spans="1:38" x14ac:dyDescent="0.3">
      <c r="A599">
        <v>2900</v>
      </c>
      <c r="B599">
        <v>231.97</v>
      </c>
      <c r="C599" t="s">
        <v>20</v>
      </c>
      <c r="D599">
        <v>2.6282999999999999</v>
      </c>
      <c r="E599">
        <v>6.1969000000000003</v>
      </c>
      <c r="F599" t="s">
        <v>21</v>
      </c>
      <c r="G599" t="s">
        <v>21</v>
      </c>
      <c r="H599" t="s">
        <v>21</v>
      </c>
      <c r="I599" t="s">
        <v>21</v>
      </c>
      <c r="J599" t="s">
        <v>21</v>
      </c>
      <c r="K599" t="s">
        <v>21</v>
      </c>
      <c r="L599" t="s">
        <v>21</v>
      </c>
      <c r="M599" t="s">
        <v>21</v>
      </c>
      <c r="N599">
        <v>6.2469149195784803</v>
      </c>
      <c r="O599">
        <v>6.3091999999999997</v>
      </c>
      <c r="P599">
        <v>6.3631599999999997</v>
      </c>
      <c r="Q599">
        <v>6.4440999999999997</v>
      </c>
      <c r="R599">
        <v>6.4676999999999998</v>
      </c>
      <c r="S599">
        <v>6.5148999999999999</v>
      </c>
      <c r="T599">
        <v>6.5621</v>
      </c>
      <c r="U599">
        <v>6.6468999999999996</v>
      </c>
      <c r="V599">
        <v>6.6680999999999999</v>
      </c>
      <c r="W599">
        <v>6.7264799999999996</v>
      </c>
      <c r="X599">
        <v>6.7653999999999996</v>
      </c>
      <c r="Y599">
        <v>6.8017599999999998</v>
      </c>
      <c r="Z599">
        <v>6.8563000000000001</v>
      </c>
      <c r="AA599">
        <v>6.8734599999999997</v>
      </c>
      <c r="AB599">
        <v>6.9420999999999999</v>
      </c>
      <c r="AC599">
        <v>7.0239000000000003</v>
      </c>
      <c r="AD599">
        <v>7.1024000000000003</v>
      </c>
      <c r="AE599">
        <v>7.1779999999999999</v>
      </c>
      <c r="AF599">
        <v>7.2511999999999999</v>
      </c>
      <c r="AG599">
        <v>7.3221999999999996</v>
      </c>
      <c r="AH599">
        <v>7.3913000000000002</v>
      </c>
      <c r="AI599">
        <v>1844.5956500000004</v>
      </c>
      <c r="AJ599">
        <v>3681.8</v>
      </c>
      <c r="AK599">
        <v>3738.75</v>
      </c>
      <c r="AL599">
        <v>3795.7</v>
      </c>
    </row>
    <row r="600" spans="1:38" x14ac:dyDescent="0.3">
      <c r="A600">
        <v>3000</v>
      </c>
      <c r="B600">
        <v>233.84</v>
      </c>
      <c r="C600" t="s">
        <v>0</v>
      </c>
      <c r="D600">
        <v>1.216</v>
      </c>
      <c r="E600">
        <v>66.626000000000005</v>
      </c>
      <c r="F600" t="s">
        <v>21</v>
      </c>
      <c r="G600" t="s">
        <v>21</v>
      </c>
      <c r="H600" t="s">
        <v>21</v>
      </c>
      <c r="I600" t="s">
        <v>21</v>
      </c>
      <c r="J600" t="s">
        <v>21</v>
      </c>
      <c r="K600" t="s">
        <v>21</v>
      </c>
      <c r="L600" t="s">
        <v>21</v>
      </c>
      <c r="M600" t="s">
        <v>21</v>
      </c>
      <c r="N600">
        <v>68.122163366336636</v>
      </c>
      <c r="O600">
        <v>70.551000000000002</v>
      </c>
      <c r="P600">
        <v>72.761800000000008</v>
      </c>
      <c r="Q600">
        <v>76.078000000000003</v>
      </c>
      <c r="R600">
        <v>77.094200000000001</v>
      </c>
      <c r="S600">
        <v>79.126599999999996</v>
      </c>
      <c r="T600">
        <v>81.159000000000006</v>
      </c>
      <c r="U600">
        <v>84.986199999999997</v>
      </c>
      <c r="V600">
        <v>85.942999999999998</v>
      </c>
      <c r="W600">
        <v>88.692799999999991</v>
      </c>
      <c r="X600">
        <v>90.525999999999996</v>
      </c>
      <c r="Y600">
        <v>92.30319999999999</v>
      </c>
      <c r="Z600">
        <v>94.968999999999994</v>
      </c>
      <c r="AA600">
        <v>95.837199999999996</v>
      </c>
      <c r="AB600">
        <v>99.31</v>
      </c>
      <c r="AC600">
        <v>103.58</v>
      </c>
      <c r="AD600">
        <v>107.79</v>
      </c>
      <c r="AE600">
        <v>111.95</v>
      </c>
      <c r="AF600">
        <v>116.08</v>
      </c>
      <c r="AG600">
        <v>120.18</v>
      </c>
      <c r="AH600">
        <v>124.26</v>
      </c>
      <c r="AI600">
        <v>65.892150000000015</v>
      </c>
      <c r="AJ600">
        <v>7.5243000000000002</v>
      </c>
      <c r="AK600">
        <v>7.5876999999999999</v>
      </c>
      <c r="AL600">
        <v>7.6510999999999996</v>
      </c>
    </row>
    <row r="601" spans="1:38" x14ac:dyDescent="0.3">
      <c r="A601">
        <v>3000</v>
      </c>
      <c r="B601">
        <v>233.84</v>
      </c>
      <c r="C601" t="s">
        <v>18</v>
      </c>
      <c r="D601">
        <v>1004.7</v>
      </c>
      <c r="E601">
        <v>2602.4</v>
      </c>
      <c r="F601" t="s">
        <v>21</v>
      </c>
      <c r="G601" t="s">
        <v>21</v>
      </c>
      <c r="H601" t="s">
        <v>21</v>
      </c>
      <c r="I601" t="s">
        <v>21</v>
      </c>
      <c r="J601" t="s">
        <v>21</v>
      </c>
      <c r="K601" t="s">
        <v>21</v>
      </c>
      <c r="L601" t="s">
        <v>21</v>
      </c>
      <c r="M601" t="s">
        <v>21</v>
      </c>
      <c r="N601">
        <v>2617.9524752475249</v>
      </c>
      <c r="O601">
        <v>2643.2</v>
      </c>
      <c r="P601">
        <v>2665.92</v>
      </c>
      <c r="Q601">
        <v>2700</v>
      </c>
      <c r="R601">
        <v>2710.32</v>
      </c>
      <c r="S601">
        <v>2730.96</v>
      </c>
      <c r="T601">
        <v>2751.6</v>
      </c>
      <c r="U601">
        <v>2790.2400000000002</v>
      </c>
      <c r="V601">
        <v>2799.9</v>
      </c>
      <c r="W601">
        <v>2827.56</v>
      </c>
      <c r="X601">
        <v>2846</v>
      </c>
      <c r="Y601">
        <v>2863.88</v>
      </c>
      <c r="Z601">
        <v>2890.7</v>
      </c>
      <c r="AA601">
        <v>2899.48</v>
      </c>
      <c r="AB601">
        <v>2934.6</v>
      </c>
      <c r="AC601">
        <v>2978</v>
      </c>
      <c r="AD601">
        <v>3021.3</v>
      </c>
      <c r="AE601">
        <v>3064.6</v>
      </c>
      <c r="AF601">
        <v>3107.9</v>
      </c>
      <c r="AG601">
        <v>3151.5</v>
      </c>
      <c r="AH601">
        <v>3195.4</v>
      </c>
      <c r="AI601">
        <v>1663.8700000000001</v>
      </c>
      <c r="AJ601">
        <v>132.34</v>
      </c>
      <c r="AK601">
        <v>136.35000000000002</v>
      </c>
      <c r="AL601">
        <v>140.36000000000001</v>
      </c>
    </row>
    <row r="602" spans="1:38" x14ac:dyDescent="0.3">
      <c r="A602">
        <v>3000</v>
      </c>
      <c r="B602">
        <v>233.84</v>
      </c>
      <c r="C602" t="s">
        <v>19</v>
      </c>
      <c r="D602">
        <v>1008.4</v>
      </c>
      <c r="E602">
        <v>2802.3</v>
      </c>
      <c r="F602" t="s">
        <v>21</v>
      </c>
      <c r="G602" t="s">
        <v>21</v>
      </c>
      <c r="H602" t="s">
        <v>21</v>
      </c>
      <c r="I602" t="s">
        <v>21</v>
      </c>
      <c r="J602" t="s">
        <v>21</v>
      </c>
      <c r="K602" t="s">
        <v>21</v>
      </c>
      <c r="L602" t="s">
        <v>21</v>
      </c>
      <c r="M602" t="s">
        <v>21</v>
      </c>
      <c r="N602">
        <v>2822.312376237624</v>
      </c>
      <c r="O602">
        <v>2854.8</v>
      </c>
      <c r="P602">
        <v>2884.16</v>
      </c>
      <c r="Q602">
        <v>2928.2</v>
      </c>
      <c r="R602">
        <v>2941.58</v>
      </c>
      <c r="S602">
        <v>2968.34</v>
      </c>
      <c r="T602">
        <v>2995.1</v>
      </c>
      <c r="U602">
        <v>3045.18</v>
      </c>
      <c r="V602">
        <v>3057.7</v>
      </c>
      <c r="W602">
        <v>3093.58</v>
      </c>
      <c r="X602">
        <v>3117.5</v>
      </c>
      <c r="Y602">
        <v>3140.74</v>
      </c>
      <c r="Z602">
        <v>3175.6</v>
      </c>
      <c r="AA602">
        <v>3186.98</v>
      </c>
      <c r="AB602">
        <v>3232.5</v>
      </c>
      <c r="AC602">
        <v>3288.7</v>
      </c>
      <c r="AD602">
        <v>3344.6</v>
      </c>
      <c r="AE602">
        <v>3400.4</v>
      </c>
      <c r="AF602">
        <v>3456.2</v>
      </c>
      <c r="AG602">
        <v>3512.1</v>
      </c>
      <c r="AH602">
        <v>3568.1</v>
      </c>
      <c r="AI602">
        <v>3426.05</v>
      </c>
      <c r="AJ602">
        <v>3284</v>
      </c>
      <c r="AK602">
        <v>3328.95</v>
      </c>
      <c r="AL602">
        <v>3373.9</v>
      </c>
    </row>
    <row r="603" spans="1:38" x14ac:dyDescent="0.3">
      <c r="A603">
        <v>3000</v>
      </c>
      <c r="B603">
        <v>233.84</v>
      </c>
      <c r="C603" t="s">
        <v>20</v>
      </c>
      <c r="D603">
        <v>2.6455000000000002</v>
      </c>
      <c r="E603">
        <v>6.1837</v>
      </c>
      <c r="F603" t="s">
        <v>21</v>
      </c>
      <c r="G603" t="s">
        <v>21</v>
      </c>
      <c r="H603" t="s">
        <v>21</v>
      </c>
      <c r="I603" t="s">
        <v>21</v>
      </c>
      <c r="J603" t="s">
        <v>21</v>
      </c>
      <c r="K603" t="s">
        <v>21</v>
      </c>
      <c r="L603" t="s">
        <v>21</v>
      </c>
      <c r="M603" t="s">
        <v>21</v>
      </c>
      <c r="N603">
        <v>6.222581188118812</v>
      </c>
      <c r="O603">
        <v>6.2857000000000003</v>
      </c>
      <c r="P603">
        <v>6.3405399999999998</v>
      </c>
      <c r="Q603">
        <v>6.4227999999999996</v>
      </c>
      <c r="R603">
        <v>6.4466799999999997</v>
      </c>
      <c r="S603">
        <v>6.49444</v>
      </c>
      <c r="T603">
        <v>6.5422000000000002</v>
      </c>
      <c r="U603">
        <v>6.6277200000000001</v>
      </c>
      <c r="V603">
        <v>6.6490999999999998</v>
      </c>
      <c r="W603">
        <v>6.7078999999999995</v>
      </c>
      <c r="X603">
        <v>6.7470999999999997</v>
      </c>
      <c r="Y603">
        <v>6.7836599999999994</v>
      </c>
      <c r="Z603">
        <v>6.8384999999999998</v>
      </c>
      <c r="AA603">
        <v>6.8557199999999998</v>
      </c>
      <c r="AB603">
        <v>6.9245999999999999</v>
      </c>
      <c r="AC603">
        <v>7.0067000000000004</v>
      </c>
      <c r="AD603">
        <v>7.0853999999999999</v>
      </c>
      <c r="AE603">
        <v>7.1612</v>
      </c>
      <c r="AF603">
        <v>7.2344999999999997</v>
      </c>
      <c r="AG603">
        <v>7.3056000000000001</v>
      </c>
      <c r="AH603">
        <v>7.3747999999999996</v>
      </c>
      <c r="AI603">
        <v>1844.1874</v>
      </c>
      <c r="AJ603">
        <v>3681</v>
      </c>
      <c r="AK603">
        <v>3738</v>
      </c>
      <c r="AL603">
        <v>3795</v>
      </c>
    </row>
    <row r="604" spans="1:38" x14ac:dyDescent="0.3">
      <c r="A604">
        <v>3100</v>
      </c>
      <c r="B604">
        <v>235.67</v>
      </c>
      <c r="C604" t="s">
        <v>0</v>
      </c>
      <c r="D604">
        <v>1.22</v>
      </c>
      <c r="E604">
        <v>64.466999999999999</v>
      </c>
      <c r="F604" t="s">
        <v>21</v>
      </c>
      <c r="G604" t="s">
        <v>21</v>
      </c>
      <c r="H604" t="s">
        <v>21</v>
      </c>
      <c r="I604" t="s">
        <v>21</v>
      </c>
      <c r="J604" t="s">
        <v>21</v>
      </c>
      <c r="K604" t="s">
        <v>21</v>
      </c>
      <c r="L604" t="s">
        <v>21</v>
      </c>
      <c r="M604" t="s">
        <v>21</v>
      </c>
      <c r="N604">
        <v>65.499794138171666</v>
      </c>
      <c r="O604">
        <v>67.885000000000005</v>
      </c>
      <c r="P604">
        <v>70.057000000000002</v>
      </c>
      <c r="Q604">
        <v>73.314999999999998</v>
      </c>
      <c r="R604">
        <v>74.309399999999997</v>
      </c>
      <c r="S604">
        <v>76.298200000000008</v>
      </c>
      <c r="T604">
        <v>78.287000000000006</v>
      </c>
      <c r="U604">
        <v>82.023799999999994</v>
      </c>
      <c r="V604">
        <v>82.957999999999998</v>
      </c>
      <c r="W604">
        <v>85.637</v>
      </c>
      <c r="X604">
        <v>87.423000000000002</v>
      </c>
      <c r="Y604">
        <v>89.151800000000009</v>
      </c>
      <c r="Z604">
        <v>91.745000000000005</v>
      </c>
      <c r="AA604">
        <v>92.588999999999999</v>
      </c>
      <c r="AB604">
        <v>95.965000000000003</v>
      </c>
      <c r="AC604">
        <v>100.11</v>
      </c>
      <c r="AD604">
        <v>104.2</v>
      </c>
      <c r="AE604">
        <v>108.24</v>
      </c>
      <c r="AF604">
        <v>112.24</v>
      </c>
      <c r="AG604">
        <v>116.22</v>
      </c>
      <c r="AH604">
        <v>120.17</v>
      </c>
      <c r="AI604">
        <v>63.838950000000011</v>
      </c>
      <c r="AJ604">
        <v>7.5079000000000002</v>
      </c>
      <c r="AK604">
        <v>7.5714000000000006</v>
      </c>
      <c r="AL604">
        <v>7.6349</v>
      </c>
    </row>
    <row r="605" spans="1:38" x14ac:dyDescent="0.3">
      <c r="A605">
        <v>3100</v>
      </c>
      <c r="B605">
        <v>235.67</v>
      </c>
      <c r="C605" t="s">
        <v>18</v>
      </c>
      <c r="D605">
        <v>1013.2</v>
      </c>
      <c r="E605">
        <v>2602.5</v>
      </c>
      <c r="F605" t="s">
        <v>21</v>
      </c>
      <c r="G605" t="s">
        <v>21</v>
      </c>
      <c r="H605" t="s">
        <v>21</v>
      </c>
      <c r="I605" t="s">
        <v>21</v>
      </c>
      <c r="J605" t="s">
        <v>21</v>
      </c>
      <c r="K605" t="s">
        <v>21</v>
      </c>
      <c r="L605" t="s">
        <v>21</v>
      </c>
      <c r="M605" t="s">
        <v>21</v>
      </c>
      <c r="N605">
        <v>2613.5893928820656</v>
      </c>
      <c r="O605">
        <v>2639.2</v>
      </c>
      <c r="P605">
        <v>2662.3199999999997</v>
      </c>
      <c r="Q605">
        <v>2697</v>
      </c>
      <c r="R605">
        <v>2707.44</v>
      </c>
      <c r="S605">
        <v>2728.3199999999997</v>
      </c>
      <c r="T605">
        <v>2749.2</v>
      </c>
      <c r="U605">
        <v>2788.16</v>
      </c>
      <c r="V605">
        <v>2797.9</v>
      </c>
      <c r="W605">
        <v>2825.7400000000002</v>
      </c>
      <c r="X605">
        <v>2844.3</v>
      </c>
      <c r="Y605">
        <v>2862.3</v>
      </c>
      <c r="Z605">
        <v>2889.3</v>
      </c>
      <c r="AA605">
        <v>2898.1200000000003</v>
      </c>
      <c r="AB605">
        <v>2933.4</v>
      </c>
      <c r="AC605">
        <v>2976.9</v>
      </c>
      <c r="AD605">
        <v>3020.3</v>
      </c>
      <c r="AE605">
        <v>3063.7</v>
      </c>
      <c r="AF605">
        <v>3107.1</v>
      </c>
      <c r="AG605">
        <v>3150.8</v>
      </c>
      <c r="AH605">
        <v>3194.7</v>
      </c>
      <c r="AI605">
        <v>1661.355</v>
      </c>
      <c r="AJ605">
        <v>128.01</v>
      </c>
      <c r="AK605">
        <v>131.89499999999998</v>
      </c>
      <c r="AL605">
        <v>135.78</v>
      </c>
    </row>
    <row r="606" spans="1:38" x14ac:dyDescent="0.3">
      <c r="A606">
        <v>3100</v>
      </c>
      <c r="B606">
        <v>235.67</v>
      </c>
      <c r="C606" t="s">
        <v>19</v>
      </c>
      <c r="D606">
        <v>1017</v>
      </c>
      <c r="E606">
        <v>2802.3</v>
      </c>
      <c r="F606" t="s">
        <v>21</v>
      </c>
      <c r="G606" t="s">
        <v>21</v>
      </c>
      <c r="H606" t="s">
        <v>21</v>
      </c>
      <c r="I606" t="s">
        <v>21</v>
      </c>
      <c r="J606" t="s">
        <v>21</v>
      </c>
      <c r="K606" t="s">
        <v>21</v>
      </c>
      <c r="L606" t="s">
        <v>21</v>
      </c>
      <c r="M606" t="s">
        <v>21</v>
      </c>
      <c r="N606">
        <v>2816.592323796232</v>
      </c>
      <c r="O606">
        <v>2849.6</v>
      </c>
      <c r="P606">
        <v>2879.44</v>
      </c>
      <c r="Q606">
        <v>2924.2</v>
      </c>
      <c r="R606">
        <v>2937.74</v>
      </c>
      <c r="S606">
        <v>2964.8199999999997</v>
      </c>
      <c r="T606">
        <v>2991.9</v>
      </c>
      <c r="U606">
        <v>3042.46</v>
      </c>
      <c r="V606">
        <v>3055.1</v>
      </c>
      <c r="W606">
        <v>3091.28</v>
      </c>
      <c r="X606">
        <v>3115.4</v>
      </c>
      <c r="Y606">
        <v>3138.72</v>
      </c>
      <c r="Z606">
        <v>3173.7</v>
      </c>
      <c r="AA606">
        <v>3185.12</v>
      </c>
      <c r="AB606">
        <v>3230.8</v>
      </c>
      <c r="AC606">
        <v>3287.3</v>
      </c>
      <c r="AD606">
        <v>3343.3</v>
      </c>
      <c r="AE606">
        <v>3399.2</v>
      </c>
      <c r="AF606">
        <v>3455.1</v>
      </c>
      <c r="AG606">
        <v>3511</v>
      </c>
      <c r="AH606">
        <v>3567.2</v>
      </c>
      <c r="AI606">
        <v>3425.25</v>
      </c>
      <c r="AJ606">
        <v>3283.3</v>
      </c>
      <c r="AK606">
        <v>3328.3500000000004</v>
      </c>
      <c r="AL606">
        <v>3373.4</v>
      </c>
    </row>
    <row r="607" spans="1:38" x14ac:dyDescent="0.3">
      <c r="A607">
        <v>3100</v>
      </c>
      <c r="B607">
        <v>235.67</v>
      </c>
      <c r="C607" t="s">
        <v>20</v>
      </c>
      <c r="D607">
        <v>2.6623000000000001</v>
      </c>
      <c r="E607">
        <v>6.1708999999999996</v>
      </c>
      <c r="F607" t="s">
        <v>21</v>
      </c>
      <c r="G607" t="s">
        <v>21</v>
      </c>
      <c r="H607" t="s">
        <v>21</v>
      </c>
      <c r="I607" t="s">
        <v>21</v>
      </c>
      <c r="J607" t="s">
        <v>21</v>
      </c>
      <c r="K607" t="s">
        <v>21</v>
      </c>
      <c r="L607" t="s">
        <v>21</v>
      </c>
      <c r="M607" t="s">
        <v>21</v>
      </c>
      <c r="N607">
        <v>6.1986083740404743</v>
      </c>
      <c r="O607">
        <v>6.2625999999999999</v>
      </c>
      <c r="P607">
        <v>6.3183199999999999</v>
      </c>
      <c r="Q607">
        <v>6.4019000000000004</v>
      </c>
      <c r="R607">
        <v>6.4260600000000005</v>
      </c>
      <c r="S607">
        <v>6.47438</v>
      </c>
      <c r="T607">
        <v>6.5227000000000004</v>
      </c>
      <c r="U607">
        <v>6.6090999999999998</v>
      </c>
      <c r="V607">
        <v>6.6307</v>
      </c>
      <c r="W607">
        <v>6.6899199999999999</v>
      </c>
      <c r="X607">
        <v>6.7294</v>
      </c>
      <c r="Y607">
        <v>6.7661199999999999</v>
      </c>
      <c r="Z607">
        <v>6.8212000000000002</v>
      </c>
      <c r="AA607">
        <v>6.8384999999999998</v>
      </c>
      <c r="AB607">
        <v>6.9077000000000002</v>
      </c>
      <c r="AC607">
        <v>6.99</v>
      </c>
      <c r="AD607">
        <v>7.0689000000000002</v>
      </c>
      <c r="AE607">
        <v>7.1448</v>
      </c>
      <c r="AF607">
        <v>7.2183000000000002</v>
      </c>
      <c r="AG607">
        <v>7.2895000000000003</v>
      </c>
      <c r="AH607">
        <v>7.3587999999999996</v>
      </c>
      <c r="AI607">
        <v>1843.7793999999999</v>
      </c>
      <c r="AJ607">
        <v>3680.2</v>
      </c>
      <c r="AK607">
        <v>3737.25</v>
      </c>
      <c r="AL607">
        <v>3794.3</v>
      </c>
    </row>
    <row r="608" spans="1:38" x14ac:dyDescent="0.3">
      <c r="A608">
        <v>3200</v>
      </c>
      <c r="B608">
        <v>237.45</v>
      </c>
      <c r="C608" t="s">
        <v>0</v>
      </c>
      <c r="D608">
        <v>1.224</v>
      </c>
      <c r="E608">
        <v>62.439</v>
      </c>
      <c r="F608" t="s">
        <v>21</v>
      </c>
      <c r="G608" t="s">
        <v>21</v>
      </c>
      <c r="H608" t="s">
        <v>21</v>
      </c>
      <c r="I608" t="s">
        <v>21</v>
      </c>
      <c r="J608" t="s">
        <v>21</v>
      </c>
      <c r="K608" t="s">
        <v>21</v>
      </c>
      <c r="L608" t="s">
        <v>21</v>
      </c>
      <c r="M608" t="s">
        <v>21</v>
      </c>
      <c r="N608">
        <v>63.036573705179286</v>
      </c>
      <c r="O608">
        <v>65.38</v>
      </c>
      <c r="P608">
        <v>67.516400000000004</v>
      </c>
      <c r="Q608">
        <v>70.721000000000004</v>
      </c>
      <c r="R608">
        <v>71.695400000000006</v>
      </c>
      <c r="S608">
        <v>73.644200000000012</v>
      </c>
      <c r="T608">
        <v>75.593000000000004</v>
      </c>
      <c r="U608">
        <v>79.245000000000005</v>
      </c>
      <c r="V608">
        <v>80.158000000000001</v>
      </c>
      <c r="W608">
        <v>82.771000000000001</v>
      </c>
      <c r="X608">
        <v>84.513000000000005</v>
      </c>
      <c r="Y608">
        <v>86.197000000000003</v>
      </c>
      <c r="Z608">
        <v>88.722999999999999</v>
      </c>
      <c r="AA608">
        <v>89.544200000000004</v>
      </c>
      <c r="AB608">
        <v>92.828999999999994</v>
      </c>
      <c r="AC608">
        <v>96.858999999999995</v>
      </c>
      <c r="AD608">
        <v>100.83</v>
      </c>
      <c r="AE608">
        <v>104.76</v>
      </c>
      <c r="AF608">
        <v>108.65</v>
      </c>
      <c r="AG608">
        <v>112.51</v>
      </c>
      <c r="AH608">
        <v>116.34</v>
      </c>
      <c r="AI608">
        <v>61.916000000000011</v>
      </c>
      <c r="AJ608">
        <v>7.492</v>
      </c>
      <c r="AK608">
        <v>7.5555500000000002</v>
      </c>
      <c r="AL608">
        <v>7.6191000000000004</v>
      </c>
    </row>
    <row r="609" spans="1:38" x14ac:dyDescent="0.3">
      <c r="A609">
        <v>3200</v>
      </c>
      <c r="B609">
        <v>237.45</v>
      </c>
      <c r="C609" t="s">
        <v>18</v>
      </c>
      <c r="D609">
        <v>1021.5</v>
      </c>
      <c r="E609">
        <v>2602.5</v>
      </c>
      <c r="F609" t="s">
        <v>21</v>
      </c>
      <c r="G609" t="s">
        <v>21</v>
      </c>
      <c r="H609" t="s">
        <v>21</v>
      </c>
      <c r="I609" t="s">
        <v>21</v>
      </c>
      <c r="J609" t="s">
        <v>21</v>
      </c>
      <c r="K609" t="s">
        <v>21</v>
      </c>
      <c r="L609" t="s">
        <v>21</v>
      </c>
      <c r="M609" t="s">
        <v>21</v>
      </c>
      <c r="N609">
        <v>2609.1442231075698</v>
      </c>
      <c r="O609">
        <v>2635.2</v>
      </c>
      <c r="P609">
        <v>2658.68</v>
      </c>
      <c r="Q609">
        <v>2693.9</v>
      </c>
      <c r="R609">
        <v>2704.48</v>
      </c>
      <c r="S609">
        <v>2725.6400000000003</v>
      </c>
      <c r="T609">
        <v>2746.8</v>
      </c>
      <c r="U609">
        <v>2786.16</v>
      </c>
      <c r="V609">
        <v>2796</v>
      </c>
      <c r="W609">
        <v>2824.02</v>
      </c>
      <c r="X609">
        <v>2842.7</v>
      </c>
      <c r="Y609">
        <v>2860.7799999999997</v>
      </c>
      <c r="Z609">
        <v>2887.9</v>
      </c>
      <c r="AA609">
        <v>2896.7400000000002</v>
      </c>
      <c r="AB609">
        <v>2932.1</v>
      </c>
      <c r="AC609">
        <v>2975.9</v>
      </c>
      <c r="AD609">
        <v>3019.3</v>
      </c>
      <c r="AE609">
        <v>3062.8</v>
      </c>
      <c r="AF609">
        <v>3106.3</v>
      </c>
      <c r="AG609">
        <v>3150</v>
      </c>
      <c r="AH609">
        <v>3193.9</v>
      </c>
      <c r="AI609">
        <v>1658.925</v>
      </c>
      <c r="AJ609">
        <v>123.95</v>
      </c>
      <c r="AK609">
        <v>127.715</v>
      </c>
      <c r="AL609">
        <v>131.47999999999999</v>
      </c>
    </row>
    <row r="610" spans="1:38" x14ac:dyDescent="0.3">
      <c r="A610">
        <v>3200</v>
      </c>
      <c r="B610">
        <v>237.45</v>
      </c>
      <c r="C610" t="s">
        <v>19</v>
      </c>
      <c r="D610">
        <v>1025.4000000000001</v>
      </c>
      <c r="E610">
        <v>2802.3</v>
      </c>
      <c r="F610" t="s">
        <v>21</v>
      </c>
      <c r="G610" t="s">
        <v>21</v>
      </c>
      <c r="H610" t="s">
        <v>21</v>
      </c>
      <c r="I610" t="s">
        <v>21</v>
      </c>
      <c r="J610" t="s">
        <v>21</v>
      </c>
      <c r="K610" t="s">
        <v>21</v>
      </c>
      <c r="L610" t="s">
        <v>21</v>
      </c>
      <c r="M610" t="s">
        <v>21</v>
      </c>
      <c r="N610">
        <v>2810.8541832669325</v>
      </c>
      <c r="O610">
        <v>2844.4</v>
      </c>
      <c r="P610">
        <v>2874.72</v>
      </c>
      <c r="Q610">
        <v>2920.2</v>
      </c>
      <c r="R610">
        <v>2933.8999999999996</v>
      </c>
      <c r="S610">
        <v>2961.2999999999997</v>
      </c>
      <c r="T610">
        <v>2988.7</v>
      </c>
      <c r="U610">
        <v>3039.74</v>
      </c>
      <c r="V610">
        <v>3052.5</v>
      </c>
      <c r="W610">
        <v>3088.92</v>
      </c>
      <c r="X610">
        <v>3113.2</v>
      </c>
      <c r="Y610">
        <v>3136.64</v>
      </c>
      <c r="Z610">
        <v>3171.8</v>
      </c>
      <c r="AA610">
        <v>3183.28</v>
      </c>
      <c r="AB610">
        <v>3229.2</v>
      </c>
      <c r="AC610">
        <v>3285.8</v>
      </c>
      <c r="AD610">
        <v>3342</v>
      </c>
      <c r="AE610">
        <v>3398</v>
      </c>
      <c r="AF610">
        <v>3454</v>
      </c>
      <c r="AG610">
        <v>3510</v>
      </c>
      <c r="AH610">
        <v>3566.2</v>
      </c>
      <c r="AI610">
        <v>3424.45</v>
      </c>
      <c r="AJ610">
        <v>3282.7</v>
      </c>
      <c r="AK610">
        <v>3327.75</v>
      </c>
      <c r="AL610">
        <v>3372.8</v>
      </c>
    </row>
    <row r="611" spans="1:38" x14ac:dyDescent="0.3">
      <c r="A611">
        <v>3200</v>
      </c>
      <c r="B611">
        <v>237.45</v>
      </c>
      <c r="C611" t="s">
        <v>20</v>
      </c>
      <c r="D611">
        <v>2.6785999999999999</v>
      </c>
      <c r="E611">
        <v>6.1585000000000001</v>
      </c>
      <c r="F611" t="s">
        <v>21</v>
      </c>
      <c r="G611" t="s">
        <v>21</v>
      </c>
      <c r="H611" t="s">
        <v>21</v>
      </c>
      <c r="I611" t="s">
        <v>21</v>
      </c>
      <c r="J611" t="s">
        <v>21</v>
      </c>
      <c r="K611" t="s">
        <v>21</v>
      </c>
      <c r="L611" t="s">
        <v>21</v>
      </c>
      <c r="M611" t="s">
        <v>21</v>
      </c>
      <c r="N611">
        <v>6.1750191235059759</v>
      </c>
      <c r="O611">
        <v>6.2397999999999998</v>
      </c>
      <c r="P611">
        <v>6.2964799999999999</v>
      </c>
      <c r="Q611">
        <v>6.3815</v>
      </c>
      <c r="R611">
        <v>6.4059400000000002</v>
      </c>
      <c r="S611">
        <v>6.4548199999999998</v>
      </c>
      <c r="T611">
        <v>6.5037000000000003</v>
      </c>
      <c r="U611">
        <v>6.5909000000000004</v>
      </c>
      <c r="V611">
        <v>6.6127000000000002</v>
      </c>
      <c r="W611">
        <v>6.6722799999999998</v>
      </c>
      <c r="X611">
        <v>6.7119999999999997</v>
      </c>
      <c r="Y611">
        <v>6.74892</v>
      </c>
      <c r="Z611">
        <v>6.8042999999999996</v>
      </c>
      <c r="AA611">
        <v>6.8216799999999997</v>
      </c>
      <c r="AB611">
        <v>6.8912000000000004</v>
      </c>
      <c r="AC611">
        <v>6.9737999999999998</v>
      </c>
      <c r="AD611">
        <v>7.0528000000000004</v>
      </c>
      <c r="AE611">
        <v>7.1289999999999996</v>
      </c>
      <c r="AF611">
        <v>7.2026000000000003</v>
      </c>
      <c r="AG611">
        <v>7.2739000000000003</v>
      </c>
      <c r="AH611">
        <v>7.3433000000000002</v>
      </c>
      <c r="AI611">
        <v>1843.3216500000003</v>
      </c>
      <c r="AJ611">
        <v>3679.3</v>
      </c>
      <c r="AK611">
        <v>3736.4500000000003</v>
      </c>
      <c r="AL611">
        <v>3793.6</v>
      </c>
    </row>
    <row r="612" spans="1:38" x14ac:dyDescent="0.3">
      <c r="A612">
        <v>3300</v>
      </c>
      <c r="B612">
        <v>239.18</v>
      </c>
      <c r="C612" t="s">
        <v>0</v>
      </c>
      <c r="D612">
        <v>1.2270000000000001</v>
      </c>
      <c r="E612">
        <v>60.529000000000003</v>
      </c>
      <c r="F612" t="s">
        <v>21</v>
      </c>
      <c r="G612" t="s">
        <v>21</v>
      </c>
      <c r="H612" t="s">
        <v>21</v>
      </c>
      <c r="I612" t="s">
        <v>21</v>
      </c>
      <c r="J612" t="s">
        <v>21</v>
      </c>
      <c r="K612" t="s">
        <v>21</v>
      </c>
      <c r="L612" t="s">
        <v>21</v>
      </c>
      <c r="M612" t="s">
        <v>21</v>
      </c>
      <c r="N612">
        <v>60.717857670979669</v>
      </c>
      <c r="O612">
        <v>63.021000000000001</v>
      </c>
      <c r="P612">
        <v>65.125399999999999</v>
      </c>
      <c r="Q612">
        <v>68.281999999999996</v>
      </c>
      <c r="R612">
        <v>69.237799999999993</v>
      </c>
      <c r="S612">
        <v>71.1494</v>
      </c>
      <c r="T612">
        <v>73.061000000000007</v>
      </c>
      <c r="U612">
        <v>76.632999999999996</v>
      </c>
      <c r="V612">
        <v>77.525999999999996</v>
      </c>
      <c r="W612">
        <v>80.077200000000005</v>
      </c>
      <c r="X612">
        <v>81.778000000000006</v>
      </c>
      <c r="Y612">
        <v>83.42</v>
      </c>
      <c r="Z612">
        <v>85.882999999999996</v>
      </c>
      <c r="AA612">
        <v>86.682999999999993</v>
      </c>
      <c r="AB612">
        <v>89.882999999999996</v>
      </c>
      <c r="AC612">
        <v>93.805000000000007</v>
      </c>
      <c r="AD612">
        <v>97.668000000000006</v>
      </c>
      <c r="AE612">
        <v>101.49</v>
      </c>
      <c r="AF612">
        <v>105.27</v>
      </c>
      <c r="AG612">
        <v>109.02</v>
      </c>
      <c r="AH612">
        <v>112.74</v>
      </c>
      <c r="AI612">
        <v>60.108350000000002</v>
      </c>
      <c r="AJ612">
        <v>7.4767000000000001</v>
      </c>
      <c r="AK612">
        <v>7.5403000000000002</v>
      </c>
      <c r="AL612">
        <v>7.6039000000000003</v>
      </c>
    </row>
    <row r="613" spans="1:38" x14ac:dyDescent="0.3">
      <c r="A613">
        <v>3300</v>
      </c>
      <c r="B613">
        <v>239.18</v>
      </c>
      <c r="C613" t="s">
        <v>18</v>
      </c>
      <c r="D613">
        <v>1029.7</v>
      </c>
      <c r="E613">
        <v>2602.5</v>
      </c>
      <c r="F613" t="s">
        <v>21</v>
      </c>
      <c r="G613" t="s">
        <v>21</v>
      </c>
      <c r="H613" t="s">
        <v>21</v>
      </c>
      <c r="I613" t="s">
        <v>21</v>
      </c>
      <c r="J613" t="s">
        <v>21</v>
      </c>
      <c r="K613" t="s">
        <v>21</v>
      </c>
      <c r="L613" t="s">
        <v>21</v>
      </c>
      <c r="M613" t="s">
        <v>21</v>
      </c>
      <c r="N613">
        <v>2604.6674676524954</v>
      </c>
      <c r="O613">
        <v>2631.1</v>
      </c>
      <c r="P613">
        <v>2654.98</v>
      </c>
      <c r="Q613">
        <v>2690.8</v>
      </c>
      <c r="R613">
        <v>2701.52</v>
      </c>
      <c r="S613">
        <v>2722.96</v>
      </c>
      <c r="T613">
        <v>2744.4</v>
      </c>
      <c r="U613">
        <v>2784.08</v>
      </c>
      <c r="V613">
        <v>2794</v>
      </c>
      <c r="W613">
        <v>2822.2599999999998</v>
      </c>
      <c r="X613">
        <v>2841.1</v>
      </c>
      <c r="Y613">
        <v>2859.2599999999998</v>
      </c>
      <c r="Z613">
        <v>2886.5</v>
      </c>
      <c r="AA613">
        <v>2895.38</v>
      </c>
      <c r="AB613">
        <v>2930.9</v>
      </c>
      <c r="AC613">
        <v>2974.8</v>
      </c>
      <c r="AD613">
        <v>3018.3</v>
      </c>
      <c r="AE613">
        <v>3061.9</v>
      </c>
      <c r="AF613">
        <v>3105.5</v>
      </c>
      <c r="AG613">
        <v>3149.2</v>
      </c>
      <c r="AH613">
        <v>3193.2</v>
      </c>
      <c r="AI613">
        <v>1656.665</v>
      </c>
      <c r="AJ613">
        <v>120.13</v>
      </c>
      <c r="AK613">
        <v>123.78999999999999</v>
      </c>
      <c r="AL613">
        <v>127.45</v>
      </c>
    </row>
    <row r="614" spans="1:38" x14ac:dyDescent="0.3">
      <c r="A614">
        <v>3300</v>
      </c>
      <c r="B614">
        <v>239.18</v>
      </c>
      <c r="C614" t="s">
        <v>19</v>
      </c>
      <c r="D614">
        <v>1033.7</v>
      </c>
      <c r="E614">
        <v>2802.3</v>
      </c>
      <c r="F614" t="s">
        <v>21</v>
      </c>
      <c r="G614" t="s">
        <v>21</v>
      </c>
      <c r="H614" t="s">
        <v>21</v>
      </c>
      <c r="I614" t="s">
        <v>21</v>
      </c>
      <c r="J614" t="s">
        <v>21</v>
      </c>
      <c r="K614" t="s">
        <v>21</v>
      </c>
      <c r="L614" t="s">
        <v>21</v>
      </c>
      <c r="M614" t="s">
        <v>21</v>
      </c>
      <c r="N614">
        <v>2805.0813308687616</v>
      </c>
      <c r="O614">
        <v>2839</v>
      </c>
      <c r="P614">
        <v>2869.84</v>
      </c>
      <c r="Q614">
        <v>2916.1</v>
      </c>
      <c r="R614">
        <v>2929.98</v>
      </c>
      <c r="S614">
        <v>2957.74</v>
      </c>
      <c r="T614">
        <v>2985.5</v>
      </c>
      <c r="U614">
        <v>3037.02</v>
      </c>
      <c r="V614">
        <v>3049.9</v>
      </c>
      <c r="W614">
        <v>3086.5</v>
      </c>
      <c r="X614">
        <v>3110.9</v>
      </c>
      <c r="Y614">
        <v>3134.5</v>
      </c>
      <c r="Z614">
        <v>3169.9</v>
      </c>
      <c r="AA614">
        <v>3181.42</v>
      </c>
      <c r="AB614">
        <v>3227.5</v>
      </c>
      <c r="AC614">
        <v>3284.3</v>
      </c>
      <c r="AD614">
        <v>3340.6</v>
      </c>
      <c r="AE614">
        <v>3396.8</v>
      </c>
      <c r="AF614">
        <v>3452.8</v>
      </c>
      <c r="AG614">
        <v>3509</v>
      </c>
      <c r="AH614">
        <v>3565.3</v>
      </c>
      <c r="AI614">
        <v>3423.7</v>
      </c>
      <c r="AJ614">
        <v>3282.1</v>
      </c>
      <c r="AK614">
        <v>3327.2</v>
      </c>
      <c r="AL614">
        <v>3372.3</v>
      </c>
    </row>
    <row r="615" spans="1:38" x14ac:dyDescent="0.3">
      <c r="A615">
        <v>3300</v>
      </c>
      <c r="B615">
        <v>239.18</v>
      </c>
      <c r="C615" t="s">
        <v>20</v>
      </c>
      <c r="D615">
        <v>2.6945000000000001</v>
      </c>
      <c r="E615">
        <v>6.1463000000000001</v>
      </c>
      <c r="F615" t="s">
        <v>21</v>
      </c>
      <c r="G615" t="s">
        <v>21</v>
      </c>
      <c r="H615" t="s">
        <v>21</v>
      </c>
      <c r="I615" t="s">
        <v>21</v>
      </c>
      <c r="J615" t="s">
        <v>21</v>
      </c>
      <c r="K615" t="s">
        <v>21</v>
      </c>
      <c r="L615" t="s">
        <v>21</v>
      </c>
      <c r="M615" t="s">
        <v>21</v>
      </c>
      <c r="N615">
        <v>6.1516807763401111</v>
      </c>
      <c r="O615">
        <v>6.2172999999999998</v>
      </c>
      <c r="P615">
        <v>6.27494</v>
      </c>
      <c r="Q615">
        <v>6.3613999999999997</v>
      </c>
      <c r="R615">
        <v>6.3861400000000001</v>
      </c>
      <c r="S615">
        <v>6.4356200000000001</v>
      </c>
      <c r="T615">
        <v>6.4851000000000001</v>
      </c>
      <c r="U615">
        <v>6.5731000000000002</v>
      </c>
      <c r="V615">
        <v>6.5951000000000004</v>
      </c>
      <c r="W615">
        <v>6.6551600000000004</v>
      </c>
      <c r="X615">
        <v>6.6951999999999998</v>
      </c>
      <c r="Y615">
        <v>6.7322799999999994</v>
      </c>
      <c r="Z615">
        <v>6.7878999999999996</v>
      </c>
      <c r="AA615">
        <v>6.8053599999999994</v>
      </c>
      <c r="AB615">
        <v>6.8752000000000004</v>
      </c>
      <c r="AC615">
        <v>6.9580000000000002</v>
      </c>
      <c r="AD615">
        <v>7.0373000000000001</v>
      </c>
      <c r="AE615">
        <v>7.1135999999999999</v>
      </c>
      <c r="AF615">
        <v>7.1872999999999996</v>
      </c>
      <c r="AG615">
        <v>7.2587999999999999</v>
      </c>
      <c r="AH615">
        <v>7.3281999999999998</v>
      </c>
      <c r="AI615">
        <v>1842.9140999999997</v>
      </c>
      <c r="AJ615">
        <v>3678.5</v>
      </c>
      <c r="AK615">
        <v>3735.7000000000003</v>
      </c>
      <c r="AL615">
        <v>3792.9</v>
      </c>
    </row>
    <row r="616" spans="1:38" x14ac:dyDescent="0.3">
      <c r="A616">
        <v>3400</v>
      </c>
      <c r="B616">
        <v>240.88</v>
      </c>
      <c r="C616" t="s">
        <v>0</v>
      </c>
      <c r="D616">
        <v>1.2310000000000001</v>
      </c>
      <c r="E616">
        <v>58.728000000000002</v>
      </c>
      <c r="F616" t="s">
        <v>21</v>
      </c>
      <c r="G616" t="s">
        <v>21</v>
      </c>
      <c r="H616" t="s">
        <v>21</v>
      </c>
      <c r="I616" t="s">
        <v>21</v>
      </c>
      <c r="J616" t="s">
        <v>21</v>
      </c>
      <c r="K616" t="s">
        <v>21</v>
      </c>
      <c r="L616" t="s">
        <v>21</v>
      </c>
      <c r="M616" t="s">
        <v>21</v>
      </c>
      <c r="N616" t="s">
        <v>51</v>
      </c>
      <c r="O616">
        <v>60.795999999999999</v>
      </c>
      <c r="P616">
        <v>62.870399999999997</v>
      </c>
      <c r="Q616">
        <v>65.981999999999999</v>
      </c>
      <c r="R616">
        <v>66.920599999999993</v>
      </c>
      <c r="S616">
        <v>68.797799999999995</v>
      </c>
      <c r="T616">
        <v>70.674999999999997</v>
      </c>
      <c r="U616">
        <v>74.173400000000001</v>
      </c>
      <c r="V616">
        <v>75.048000000000002</v>
      </c>
      <c r="W616">
        <v>77.541600000000003</v>
      </c>
      <c r="X616">
        <v>79.203999999999994</v>
      </c>
      <c r="Y616">
        <v>80.806399999999996</v>
      </c>
      <c r="Z616">
        <v>83.21</v>
      </c>
      <c r="AA616">
        <v>83.99</v>
      </c>
      <c r="AB616">
        <v>87.11</v>
      </c>
      <c r="AC616">
        <v>90.93</v>
      </c>
      <c r="AD616">
        <v>94.691999999999993</v>
      </c>
      <c r="AE616">
        <v>98.408000000000001</v>
      </c>
      <c r="AF616">
        <v>102.09</v>
      </c>
      <c r="AG616">
        <v>105.74</v>
      </c>
      <c r="AH616">
        <v>109.36</v>
      </c>
      <c r="AI616">
        <v>58.410899999999998</v>
      </c>
      <c r="AJ616">
        <v>7.4618000000000002</v>
      </c>
      <c r="AK616">
        <v>7.5254500000000002</v>
      </c>
      <c r="AL616">
        <v>7.5891000000000002</v>
      </c>
    </row>
    <row r="617" spans="1:38" x14ac:dyDescent="0.3">
      <c r="A617">
        <v>3400</v>
      </c>
      <c r="B617">
        <v>240.88</v>
      </c>
      <c r="C617" t="s">
        <v>18</v>
      </c>
      <c r="D617">
        <v>1037.5999999999999</v>
      </c>
      <c r="E617">
        <v>2602.5</v>
      </c>
      <c r="F617" t="s">
        <v>21</v>
      </c>
      <c r="G617" t="s">
        <v>21</v>
      </c>
      <c r="H617" t="s">
        <v>21</v>
      </c>
      <c r="I617" t="s">
        <v>21</v>
      </c>
      <c r="J617" t="s">
        <v>21</v>
      </c>
      <c r="K617" t="s">
        <v>21</v>
      </c>
      <c r="L617" t="s">
        <v>21</v>
      </c>
      <c r="M617" t="s">
        <v>21</v>
      </c>
      <c r="N617" t="s">
        <v>51</v>
      </c>
      <c r="O617">
        <v>2626.9</v>
      </c>
      <c r="P617">
        <v>2651.22</v>
      </c>
      <c r="Q617">
        <v>2687.7</v>
      </c>
      <c r="R617">
        <v>2698.54</v>
      </c>
      <c r="S617">
        <v>2720.2200000000003</v>
      </c>
      <c r="T617">
        <v>2741.9</v>
      </c>
      <c r="U617">
        <v>2781.98</v>
      </c>
      <c r="V617">
        <v>2792</v>
      </c>
      <c r="W617">
        <v>2820.44</v>
      </c>
      <c r="X617">
        <v>2839.4</v>
      </c>
      <c r="Y617">
        <v>2857.68</v>
      </c>
      <c r="Z617">
        <v>2885.1</v>
      </c>
      <c r="AA617">
        <v>2894.02</v>
      </c>
      <c r="AB617">
        <v>2929.7</v>
      </c>
      <c r="AC617">
        <v>2973.7</v>
      </c>
      <c r="AD617">
        <v>3017.4</v>
      </c>
      <c r="AE617">
        <v>3061</v>
      </c>
      <c r="AF617">
        <v>3104.6</v>
      </c>
      <c r="AG617">
        <v>3148.4</v>
      </c>
      <c r="AH617">
        <v>3192.5</v>
      </c>
      <c r="AI617">
        <v>1654.52</v>
      </c>
      <c r="AJ617">
        <v>116.54</v>
      </c>
      <c r="AK617">
        <v>120.095</v>
      </c>
      <c r="AL617">
        <v>123.65</v>
      </c>
    </row>
    <row r="618" spans="1:38" x14ac:dyDescent="0.3">
      <c r="A618">
        <v>3400</v>
      </c>
      <c r="B618">
        <v>240.88</v>
      </c>
      <c r="C618" t="s">
        <v>19</v>
      </c>
      <c r="D618">
        <v>1041.8</v>
      </c>
      <c r="E618">
        <v>2802.1</v>
      </c>
      <c r="F618" t="s">
        <v>21</v>
      </c>
      <c r="G618" t="s">
        <v>21</v>
      </c>
      <c r="H618" t="s">
        <v>21</v>
      </c>
      <c r="I618" t="s">
        <v>21</v>
      </c>
      <c r="J618" t="s">
        <v>21</v>
      </c>
      <c r="K618" t="s">
        <v>21</v>
      </c>
      <c r="L618" t="s">
        <v>21</v>
      </c>
      <c r="M618" t="s">
        <v>21</v>
      </c>
      <c r="N618" t="s">
        <v>51</v>
      </c>
      <c r="O618">
        <v>2833.6</v>
      </c>
      <c r="P618">
        <v>2864.96</v>
      </c>
      <c r="Q618">
        <v>2912</v>
      </c>
      <c r="R618">
        <v>2926.04</v>
      </c>
      <c r="S618">
        <v>2954.12</v>
      </c>
      <c r="T618">
        <v>2982.2</v>
      </c>
      <c r="U618">
        <v>3034.2</v>
      </c>
      <c r="V618">
        <v>3047.2</v>
      </c>
      <c r="W618">
        <v>3084.1</v>
      </c>
      <c r="X618">
        <v>3108.7</v>
      </c>
      <c r="Y618">
        <v>3132.42</v>
      </c>
      <c r="Z618">
        <v>3168</v>
      </c>
      <c r="AA618">
        <v>3179.58</v>
      </c>
      <c r="AB618">
        <v>3225.9</v>
      </c>
      <c r="AC618">
        <v>3282.8</v>
      </c>
      <c r="AD618">
        <v>3339.3</v>
      </c>
      <c r="AE618">
        <v>3395.5</v>
      </c>
      <c r="AF618">
        <v>3451.7</v>
      </c>
      <c r="AG618">
        <v>3507.9</v>
      </c>
      <c r="AH618">
        <v>3564.3</v>
      </c>
      <c r="AI618">
        <v>3422.9</v>
      </c>
      <c r="AJ618">
        <v>3281.5</v>
      </c>
      <c r="AK618">
        <v>3326.6</v>
      </c>
      <c r="AL618">
        <v>3371.7</v>
      </c>
    </row>
    <row r="619" spans="1:38" x14ac:dyDescent="0.3">
      <c r="A619">
        <v>3400</v>
      </c>
      <c r="B619">
        <v>240.88</v>
      </c>
      <c r="C619" t="s">
        <v>20</v>
      </c>
      <c r="D619">
        <v>2.7101000000000002</v>
      </c>
      <c r="E619">
        <v>6.1344000000000003</v>
      </c>
      <c r="F619" t="s">
        <v>21</v>
      </c>
      <c r="G619" t="s">
        <v>21</v>
      </c>
      <c r="H619" t="s">
        <v>21</v>
      </c>
      <c r="I619" t="s">
        <v>21</v>
      </c>
      <c r="J619" t="s">
        <v>21</v>
      </c>
      <c r="K619" t="s">
        <v>21</v>
      </c>
      <c r="L619" t="s">
        <v>21</v>
      </c>
      <c r="M619" t="s">
        <v>21</v>
      </c>
      <c r="N619" t="s">
        <v>51</v>
      </c>
      <c r="O619">
        <v>6.1951000000000001</v>
      </c>
      <c r="P619">
        <v>6.2537000000000003</v>
      </c>
      <c r="Q619">
        <v>6.3415999999999997</v>
      </c>
      <c r="R619">
        <v>6.3666599999999995</v>
      </c>
      <c r="S619">
        <v>6.4167799999999993</v>
      </c>
      <c r="T619">
        <v>6.4668999999999999</v>
      </c>
      <c r="U619">
        <v>6.5556999999999999</v>
      </c>
      <c r="V619">
        <v>6.5778999999999996</v>
      </c>
      <c r="W619">
        <v>6.6383799999999997</v>
      </c>
      <c r="X619">
        <v>6.6787000000000001</v>
      </c>
      <c r="Y619">
        <v>6.7159800000000001</v>
      </c>
      <c r="Z619">
        <v>6.7718999999999996</v>
      </c>
      <c r="AA619">
        <v>6.7894199999999998</v>
      </c>
      <c r="AB619">
        <v>6.8594999999999997</v>
      </c>
      <c r="AC619">
        <v>6.9425999999999997</v>
      </c>
      <c r="AD619">
        <v>7.0221</v>
      </c>
      <c r="AE619">
        <v>7.0986000000000002</v>
      </c>
      <c r="AF619">
        <v>7.1723999999999997</v>
      </c>
      <c r="AG619">
        <v>7.2439999999999998</v>
      </c>
      <c r="AH619">
        <v>7.3136000000000001</v>
      </c>
      <c r="AI619">
        <v>1842.5067999999997</v>
      </c>
      <c r="AJ619">
        <v>3677.7</v>
      </c>
      <c r="AK619">
        <v>3734.9</v>
      </c>
      <c r="AL619">
        <v>3792.1</v>
      </c>
    </row>
    <row r="620" spans="1:38" x14ac:dyDescent="0.3">
      <c r="A620">
        <v>3500</v>
      </c>
      <c r="B620">
        <v>242.54</v>
      </c>
      <c r="C620" t="s">
        <v>0</v>
      </c>
      <c r="D620">
        <v>1.2350000000000001</v>
      </c>
      <c r="E620">
        <v>57.024999999999999</v>
      </c>
      <c r="F620" t="s">
        <v>21</v>
      </c>
      <c r="G620" t="s">
        <v>21</v>
      </c>
      <c r="H620" t="s">
        <v>21</v>
      </c>
      <c r="I620" t="s">
        <v>21</v>
      </c>
      <c r="J620" t="s">
        <v>21</v>
      </c>
      <c r="K620" t="s">
        <v>21</v>
      </c>
      <c r="L620" t="s">
        <v>21</v>
      </c>
      <c r="M620" t="s">
        <v>21</v>
      </c>
      <c r="N620" t="s">
        <v>51</v>
      </c>
      <c r="O620">
        <v>58.692999999999998</v>
      </c>
      <c r="P620">
        <v>60.740600000000001</v>
      </c>
      <c r="Q620">
        <v>63.811999999999998</v>
      </c>
      <c r="R620">
        <v>64.734399999999994</v>
      </c>
      <c r="S620">
        <v>66.5792</v>
      </c>
      <c r="T620">
        <v>68.424000000000007</v>
      </c>
      <c r="U620">
        <v>71.852800000000002</v>
      </c>
      <c r="V620">
        <v>72.709999999999994</v>
      </c>
      <c r="W620">
        <v>75.149599999999992</v>
      </c>
      <c r="X620">
        <v>76.775999999999996</v>
      </c>
      <c r="Y620">
        <v>78.341200000000001</v>
      </c>
      <c r="Z620">
        <v>80.688999999999993</v>
      </c>
      <c r="AA620">
        <v>81.449999999999989</v>
      </c>
      <c r="AB620">
        <v>84.494</v>
      </c>
      <c r="AC620">
        <v>88.22</v>
      </c>
      <c r="AD620">
        <v>91.885999999999996</v>
      </c>
      <c r="AE620">
        <v>95.504999999999995</v>
      </c>
      <c r="AF620">
        <v>99.087999999999994</v>
      </c>
      <c r="AG620">
        <v>102.64</v>
      </c>
      <c r="AH620">
        <v>106.17</v>
      </c>
      <c r="AI620">
        <v>56.80865</v>
      </c>
      <c r="AJ620">
        <v>7.4473000000000003</v>
      </c>
      <c r="AK620">
        <v>7.5110000000000001</v>
      </c>
      <c r="AL620">
        <v>7.5747</v>
      </c>
    </row>
    <row r="621" spans="1:38" x14ac:dyDescent="0.3">
      <c r="A621">
        <v>3500</v>
      </c>
      <c r="B621">
        <v>242.54</v>
      </c>
      <c r="C621" t="s">
        <v>18</v>
      </c>
      <c r="D621">
        <v>1045.4000000000001</v>
      </c>
      <c r="E621">
        <v>2602.4</v>
      </c>
      <c r="F621" t="s">
        <v>21</v>
      </c>
      <c r="G621" t="s">
        <v>21</v>
      </c>
      <c r="H621" t="s">
        <v>21</v>
      </c>
      <c r="I621" t="s">
        <v>21</v>
      </c>
      <c r="J621" t="s">
        <v>21</v>
      </c>
      <c r="K621" t="s">
        <v>21</v>
      </c>
      <c r="L621" t="s">
        <v>21</v>
      </c>
      <c r="M621" t="s">
        <v>21</v>
      </c>
      <c r="N621" t="s">
        <v>51</v>
      </c>
      <c r="O621">
        <v>2622.7</v>
      </c>
      <c r="P621">
        <v>2647.42</v>
      </c>
      <c r="Q621">
        <v>2684.5</v>
      </c>
      <c r="R621">
        <v>2695.5</v>
      </c>
      <c r="S621">
        <v>2717.5</v>
      </c>
      <c r="T621">
        <v>2739.5</v>
      </c>
      <c r="U621">
        <v>2779.9</v>
      </c>
      <c r="V621">
        <v>2790</v>
      </c>
      <c r="W621">
        <v>2818.6800000000003</v>
      </c>
      <c r="X621">
        <v>2837.8</v>
      </c>
      <c r="Y621">
        <v>2856.16</v>
      </c>
      <c r="Z621">
        <v>2883.7</v>
      </c>
      <c r="AA621">
        <v>2892.64</v>
      </c>
      <c r="AB621">
        <v>2928.4</v>
      </c>
      <c r="AC621">
        <v>2972.6</v>
      </c>
      <c r="AD621">
        <v>3016.4</v>
      </c>
      <c r="AE621">
        <v>3060.1</v>
      </c>
      <c r="AF621">
        <v>3103.8</v>
      </c>
      <c r="AG621">
        <v>3147.7</v>
      </c>
      <c r="AH621">
        <v>3191.8</v>
      </c>
      <c r="AI621">
        <v>1652.4750000000001</v>
      </c>
      <c r="AJ621">
        <v>113.15</v>
      </c>
      <c r="AK621">
        <v>116.61</v>
      </c>
      <c r="AL621">
        <v>120.07</v>
      </c>
    </row>
    <row r="622" spans="1:38" x14ac:dyDescent="0.3">
      <c r="A622">
        <v>3500</v>
      </c>
      <c r="B622">
        <v>242.54</v>
      </c>
      <c r="C622" t="s">
        <v>19</v>
      </c>
      <c r="D622">
        <v>1049.8</v>
      </c>
      <c r="E622">
        <v>2802</v>
      </c>
      <c r="F622" t="s">
        <v>21</v>
      </c>
      <c r="G622" t="s">
        <v>21</v>
      </c>
      <c r="H622" t="s">
        <v>21</v>
      </c>
      <c r="I622" t="s">
        <v>21</v>
      </c>
      <c r="J622" t="s">
        <v>21</v>
      </c>
      <c r="K622" t="s">
        <v>21</v>
      </c>
      <c r="L622" t="s">
        <v>21</v>
      </c>
      <c r="M622" t="s">
        <v>21</v>
      </c>
      <c r="N622" t="s">
        <v>51</v>
      </c>
      <c r="O622">
        <v>2828.1</v>
      </c>
      <c r="P622">
        <v>2859.98</v>
      </c>
      <c r="Q622">
        <v>2907.8</v>
      </c>
      <c r="R622">
        <v>2922.04</v>
      </c>
      <c r="S622">
        <v>2950.52</v>
      </c>
      <c r="T622">
        <v>2979</v>
      </c>
      <c r="U622">
        <v>3031.4</v>
      </c>
      <c r="V622">
        <v>3044.5</v>
      </c>
      <c r="W622">
        <v>3081.7</v>
      </c>
      <c r="X622">
        <v>3106.5</v>
      </c>
      <c r="Y622">
        <v>3130.34</v>
      </c>
      <c r="Z622">
        <v>3166.1</v>
      </c>
      <c r="AA622">
        <v>3177.72</v>
      </c>
      <c r="AB622">
        <v>3224.2</v>
      </c>
      <c r="AC622">
        <v>3281.3</v>
      </c>
      <c r="AD622">
        <v>3338</v>
      </c>
      <c r="AE622">
        <v>3394.3</v>
      </c>
      <c r="AF622">
        <v>3450.6</v>
      </c>
      <c r="AG622">
        <v>3506.9</v>
      </c>
      <c r="AH622">
        <v>3563.4</v>
      </c>
      <c r="AI622">
        <v>3422.1000000000004</v>
      </c>
      <c r="AJ622">
        <v>3280.8</v>
      </c>
      <c r="AK622">
        <v>3326</v>
      </c>
      <c r="AL622">
        <v>3371.2</v>
      </c>
    </row>
    <row r="623" spans="1:38" x14ac:dyDescent="0.3">
      <c r="A623">
        <v>3500</v>
      </c>
      <c r="B623">
        <v>242.54</v>
      </c>
      <c r="C623" t="s">
        <v>20</v>
      </c>
      <c r="D623">
        <v>2.7252999999999998</v>
      </c>
      <c r="E623">
        <v>6.1227999999999998</v>
      </c>
      <c r="F623" t="s">
        <v>21</v>
      </c>
      <c r="G623" t="s">
        <v>21</v>
      </c>
      <c r="H623" t="s">
        <v>21</v>
      </c>
      <c r="I623" t="s">
        <v>21</v>
      </c>
      <c r="J623" t="s">
        <v>21</v>
      </c>
      <c r="K623" t="s">
        <v>21</v>
      </c>
      <c r="L623" t="s">
        <v>21</v>
      </c>
      <c r="M623" t="s">
        <v>21</v>
      </c>
      <c r="N623" t="s">
        <v>51</v>
      </c>
      <c r="O623">
        <v>6.1731999999999996</v>
      </c>
      <c r="P623">
        <v>6.2327599999999999</v>
      </c>
      <c r="Q623">
        <v>6.3220999999999998</v>
      </c>
      <c r="R623">
        <v>6.3475000000000001</v>
      </c>
      <c r="S623">
        <v>6.3982999999999999</v>
      </c>
      <c r="T623">
        <v>6.4490999999999996</v>
      </c>
      <c r="U623">
        <v>6.5386999999999995</v>
      </c>
      <c r="V623">
        <v>6.5610999999999997</v>
      </c>
      <c r="W623">
        <v>6.6219999999999999</v>
      </c>
      <c r="X623">
        <v>6.6626000000000003</v>
      </c>
      <c r="Y623">
        <v>6.7000800000000007</v>
      </c>
      <c r="Z623">
        <v>6.7563000000000004</v>
      </c>
      <c r="AA623">
        <v>6.7739000000000003</v>
      </c>
      <c r="AB623">
        <v>6.8442999999999996</v>
      </c>
      <c r="AC623">
        <v>6.9276999999999997</v>
      </c>
      <c r="AD623">
        <v>7.0073999999999996</v>
      </c>
      <c r="AE623">
        <v>7.0839999999999996</v>
      </c>
      <c r="AF623">
        <v>7.1580000000000004</v>
      </c>
      <c r="AG623">
        <v>7.2297000000000002</v>
      </c>
      <c r="AH623">
        <v>7.2992999999999997</v>
      </c>
      <c r="AI623">
        <v>1842.0996499999999</v>
      </c>
      <c r="AJ623">
        <v>3676.9</v>
      </c>
      <c r="AK623">
        <v>3734.15</v>
      </c>
      <c r="AL623">
        <v>3791.4</v>
      </c>
    </row>
    <row r="624" spans="1:38" x14ac:dyDescent="0.3">
      <c r="A624">
        <v>3600</v>
      </c>
      <c r="B624">
        <v>244.16</v>
      </c>
      <c r="C624" t="s">
        <v>0</v>
      </c>
      <c r="D624">
        <v>1.238</v>
      </c>
      <c r="E624">
        <v>55.414999999999999</v>
      </c>
      <c r="F624" t="s">
        <v>21</v>
      </c>
      <c r="G624" t="s">
        <v>21</v>
      </c>
      <c r="H624" t="s">
        <v>21</v>
      </c>
      <c r="I624" t="s">
        <v>21</v>
      </c>
      <c r="J624" t="s">
        <v>21</v>
      </c>
      <c r="K624" t="s">
        <v>21</v>
      </c>
      <c r="L624" t="s">
        <v>21</v>
      </c>
      <c r="M624" t="s">
        <v>21</v>
      </c>
      <c r="N624" t="s">
        <v>51</v>
      </c>
      <c r="O624">
        <v>56.701999999999998</v>
      </c>
      <c r="P624">
        <v>58.724800000000002</v>
      </c>
      <c r="Q624">
        <v>61.759</v>
      </c>
      <c r="R624">
        <v>62.666600000000003</v>
      </c>
      <c r="S624">
        <v>64.481799999999993</v>
      </c>
      <c r="T624">
        <v>66.296999999999997</v>
      </c>
      <c r="U624">
        <v>69.660200000000003</v>
      </c>
      <c r="V624">
        <v>70.501000000000005</v>
      </c>
      <c r="W624">
        <v>72.889600000000002</v>
      </c>
      <c r="X624">
        <v>74.481999999999999</v>
      </c>
      <c r="Y624">
        <v>76.0124</v>
      </c>
      <c r="Z624">
        <v>78.308000000000007</v>
      </c>
      <c r="AA624">
        <v>79.051200000000009</v>
      </c>
      <c r="AB624">
        <v>82.024000000000001</v>
      </c>
      <c r="AC624">
        <v>85.66</v>
      </c>
      <c r="AD624">
        <v>89.236000000000004</v>
      </c>
      <c r="AE624">
        <v>92.763999999999996</v>
      </c>
      <c r="AF624">
        <v>96.254999999999995</v>
      </c>
      <c r="AG624">
        <v>99.715999999999994</v>
      </c>
      <c r="AH624">
        <v>103.15</v>
      </c>
      <c r="AI624">
        <v>55.291600000000003</v>
      </c>
      <c r="AJ624">
        <v>7.4332000000000003</v>
      </c>
      <c r="AK624">
        <v>7.49695</v>
      </c>
      <c r="AL624">
        <v>7.5606999999999998</v>
      </c>
    </row>
    <row r="625" spans="1:38" x14ac:dyDescent="0.3">
      <c r="A625">
        <v>3600</v>
      </c>
      <c r="B625">
        <v>244.16</v>
      </c>
      <c r="C625" t="s">
        <v>18</v>
      </c>
      <c r="D625">
        <v>1053.0999999999999</v>
      </c>
      <c r="E625">
        <v>2602.1999999999998</v>
      </c>
      <c r="F625" t="s">
        <v>21</v>
      </c>
      <c r="G625" t="s">
        <v>21</v>
      </c>
      <c r="H625" t="s">
        <v>21</v>
      </c>
      <c r="I625" t="s">
        <v>21</v>
      </c>
      <c r="J625" t="s">
        <v>21</v>
      </c>
      <c r="K625" t="s">
        <v>21</v>
      </c>
      <c r="L625" t="s">
        <v>21</v>
      </c>
      <c r="M625" t="s">
        <v>21</v>
      </c>
      <c r="N625" t="s">
        <v>51</v>
      </c>
      <c r="O625">
        <v>2618.4</v>
      </c>
      <c r="P625">
        <v>2643.56</v>
      </c>
      <c r="Q625">
        <v>2681.3</v>
      </c>
      <c r="R625">
        <v>2692.44</v>
      </c>
      <c r="S625">
        <v>2714.7200000000003</v>
      </c>
      <c r="T625">
        <v>2737</v>
      </c>
      <c r="U625">
        <v>2777.8</v>
      </c>
      <c r="V625">
        <v>2788</v>
      </c>
      <c r="W625">
        <v>2816.86</v>
      </c>
      <c r="X625">
        <v>2836.1</v>
      </c>
      <c r="Y625">
        <v>2854.58</v>
      </c>
      <c r="Z625">
        <v>2882.3</v>
      </c>
      <c r="AA625">
        <v>2891.28</v>
      </c>
      <c r="AB625">
        <v>2927.2</v>
      </c>
      <c r="AC625">
        <v>2971.5</v>
      </c>
      <c r="AD625">
        <v>3015.4</v>
      </c>
      <c r="AE625">
        <v>3059.2</v>
      </c>
      <c r="AF625">
        <v>3103</v>
      </c>
      <c r="AG625">
        <v>3146.9</v>
      </c>
      <c r="AH625">
        <v>3191.1</v>
      </c>
      <c r="AI625">
        <v>1650.53</v>
      </c>
      <c r="AJ625">
        <v>109.96</v>
      </c>
      <c r="AK625">
        <v>113.32499999999999</v>
      </c>
      <c r="AL625">
        <v>116.69</v>
      </c>
    </row>
    <row r="626" spans="1:38" x14ac:dyDescent="0.3">
      <c r="A626">
        <v>3600</v>
      </c>
      <c r="B626">
        <v>244.16</v>
      </c>
      <c r="C626" t="s">
        <v>19</v>
      </c>
      <c r="D626">
        <v>1057.5999999999999</v>
      </c>
      <c r="E626">
        <v>2801.7</v>
      </c>
      <c r="F626" t="s">
        <v>21</v>
      </c>
      <c r="G626" t="s">
        <v>21</v>
      </c>
      <c r="H626" t="s">
        <v>21</v>
      </c>
      <c r="I626" t="s">
        <v>21</v>
      </c>
      <c r="J626" t="s">
        <v>21</v>
      </c>
      <c r="K626" t="s">
        <v>21</v>
      </c>
      <c r="L626" t="s">
        <v>21</v>
      </c>
      <c r="M626" t="s">
        <v>21</v>
      </c>
      <c r="N626" t="s">
        <v>51</v>
      </c>
      <c r="O626">
        <v>2822.5</v>
      </c>
      <c r="P626">
        <v>2854.94</v>
      </c>
      <c r="Q626">
        <v>2903.6</v>
      </c>
      <c r="R626">
        <v>2918</v>
      </c>
      <c r="S626">
        <v>2946.8</v>
      </c>
      <c r="T626">
        <v>2975.6</v>
      </c>
      <c r="U626">
        <v>3028.56</v>
      </c>
      <c r="V626">
        <v>3041.8</v>
      </c>
      <c r="W626">
        <v>3079.24</v>
      </c>
      <c r="X626">
        <v>3104.2</v>
      </c>
      <c r="Y626">
        <v>3128.2</v>
      </c>
      <c r="Z626">
        <v>3164.2</v>
      </c>
      <c r="AA626">
        <v>3175.8599999999997</v>
      </c>
      <c r="AB626">
        <v>3222.5</v>
      </c>
      <c r="AC626">
        <v>3279.8</v>
      </c>
      <c r="AD626">
        <v>3336.6</v>
      </c>
      <c r="AE626">
        <v>3393.1</v>
      </c>
      <c r="AF626">
        <v>3449.5</v>
      </c>
      <c r="AG626">
        <v>3505.9</v>
      </c>
      <c r="AH626">
        <v>3562.4</v>
      </c>
      <c r="AI626">
        <v>3421.3</v>
      </c>
      <c r="AJ626">
        <v>3280.2</v>
      </c>
      <c r="AK626">
        <v>3325.3999999999996</v>
      </c>
      <c r="AL626">
        <v>3370.6</v>
      </c>
    </row>
    <row r="627" spans="1:38" x14ac:dyDescent="0.3">
      <c r="A627">
        <v>3600</v>
      </c>
      <c r="B627">
        <v>244.16</v>
      </c>
      <c r="C627" t="s">
        <v>20</v>
      </c>
      <c r="D627">
        <v>2.7401</v>
      </c>
      <c r="E627">
        <v>6.1115000000000004</v>
      </c>
      <c r="F627" t="s">
        <v>21</v>
      </c>
      <c r="G627" t="s">
        <v>21</v>
      </c>
      <c r="H627" t="s">
        <v>21</v>
      </c>
      <c r="I627" t="s">
        <v>21</v>
      </c>
      <c r="J627" t="s">
        <v>21</v>
      </c>
      <c r="K627" t="s">
        <v>21</v>
      </c>
      <c r="L627" t="s">
        <v>21</v>
      </c>
      <c r="M627" t="s">
        <v>21</v>
      </c>
      <c r="N627" t="s">
        <v>51</v>
      </c>
      <c r="O627">
        <v>6.1513999999999998</v>
      </c>
      <c r="P627">
        <v>6.21204</v>
      </c>
      <c r="Q627">
        <v>6.3029999999999999</v>
      </c>
      <c r="R627">
        <v>6.3286999999999995</v>
      </c>
      <c r="S627">
        <v>6.3800999999999997</v>
      </c>
      <c r="T627">
        <v>6.4314999999999998</v>
      </c>
      <c r="U627">
        <v>6.5219800000000001</v>
      </c>
      <c r="V627">
        <v>6.5446</v>
      </c>
      <c r="W627">
        <v>6.6059200000000002</v>
      </c>
      <c r="X627">
        <v>6.6467999999999998</v>
      </c>
      <c r="Y627">
        <v>6.68452</v>
      </c>
      <c r="Z627">
        <v>6.7411000000000003</v>
      </c>
      <c r="AA627">
        <v>6.7587600000000005</v>
      </c>
      <c r="AB627">
        <v>6.8293999999999997</v>
      </c>
      <c r="AC627">
        <v>6.9131</v>
      </c>
      <c r="AD627">
        <v>6.9930000000000003</v>
      </c>
      <c r="AE627">
        <v>7.0697999999999999</v>
      </c>
      <c r="AF627">
        <v>7.1439000000000004</v>
      </c>
      <c r="AG627">
        <v>7.2157</v>
      </c>
      <c r="AH627">
        <v>7.2854000000000001</v>
      </c>
      <c r="AI627">
        <v>1841.6926999999998</v>
      </c>
      <c r="AJ627">
        <v>3676.1</v>
      </c>
      <c r="AK627">
        <v>3733.3999999999996</v>
      </c>
      <c r="AL627">
        <v>3790.7</v>
      </c>
    </row>
    <row r="628" spans="1:38" x14ac:dyDescent="0.3">
      <c r="A628">
        <v>3700</v>
      </c>
      <c r="B628">
        <v>245.75</v>
      </c>
      <c r="C628" t="s">
        <v>0</v>
      </c>
      <c r="D628">
        <v>1.242</v>
      </c>
      <c r="E628">
        <v>53.887999999999998</v>
      </c>
      <c r="F628" t="s">
        <v>21</v>
      </c>
      <c r="G628" t="s">
        <v>21</v>
      </c>
      <c r="H628" t="s">
        <v>21</v>
      </c>
      <c r="I628" t="s">
        <v>21</v>
      </c>
      <c r="J628" t="s">
        <v>21</v>
      </c>
      <c r="K628" t="s">
        <v>21</v>
      </c>
      <c r="L628" t="s">
        <v>21</v>
      </c>
      <c r="M628" t="s">
        <v>21</v>
      </c>
      <c r="N628" t="s">
        <v>51</v>
      </c>
      <c r="O628">
        <v>54.811999999999998</v>
      </c>
      <c r="P628">
        <v>56.812799999999996</v>
      </c>
      <c r="Q628">
        <v>59.814</v>
      </c>
      <c r="R628">
        <v>60.707599999999999</v>
      </c>
      <c r="S628">
        <v>62.494799999999998</v>
      </c>
      <c r="T628">
        <v>64.281999999999996</v>
      </c>
      <c r="U628">
        <v>67.584400000000002</v>
      </c>
      <c r="V628">
        <v>68.41</v>
      </c>
      <c r="W628">
        <v>70.750600000000006</v>
      </c>
      <c r="X628">
        <v>72.311000000000007</v>
      </c>
      <c r="Y628">
        <v>73.808600000000013</v>
      </c>
      <c r="Z628">
        <v>76.055000000000007</v>
      </c>
      <c r="AA628">
        <v>76.781400000000005</v>
      </c>
      <c r="AB628">
        <v>79.686999999999998</v>
      </c>
      <c r="AC628">
        <v>83.238</v>
      </c>
      <c r="AD628">
        <v>86.727999999999994</v>
      </c>
      <c r="AE628">
        <v>90.171000000000006</v>
      </c>
      <c r="AF628">
        <v>93.575999999999993</v>
      </c>
      <c r="AG628">
        <v>96.95</v>
      </c>
      <c r="AH628">
        <v>100.3</v>
      </c>
      <c r="AI628">
        <v>53.859749999999998</v>
      </c>
      <c r="AJ628">
        <v>7.4195000000000002</v>
      </c>
      <c r="AK628">
        <v>7.4832999999999998</v>
      </c>
      <c r="AL628">
        <v>7.5471000000000004</v>
      </c>
    </row>
    <row r="629" spans="1:38" x14ac:dyDescent="0.3">
      <c r="A629">
        <v>3700</v>
      </c>
      <c r="B629">
        <v>245.75</v>
      </c>
      <c r="C629" t="s">
        <v>18</v>
      </c>
      <c r="D629">
        <v>1060.5999999999999</v>
      </c>
      <c r="E629">
        <v>2602.1</v>
      </c>
      <c r="F629" t="s">
        <v>21</v>
      </c>
      <c r="G629" t="s">
        <v>21</v>
      </c>
      <c r="H629" t="s">
        <v>21</v>
      </c>
      <c r="I629" t="s">
        <v>21</v>
      </c>
      <c r="J629" t="s">
        <v>21</v>
      </c>
      <c r="K629" t="s">
        <v>21</v>
      </c>
      <c r="L629" t="s">
        <v>21</v>
      </c>
      <c r="M629" t="s">
        <v>21</v>
      </c>
      <c r="N629" t="s">
        <v>51</v>
      </c>
      <c r="O629">
        <v>2614</v>
      </c>
      <c r="P629">
        <v>2639.6</v>
      </c>
      <c r="Q629">
        <v>2678</v>
      </c>
      <c r="R629">
        <v>2689.28</v>
      </c>
      <c r="S629">
        <v>2711.84</v>
      </c>
      <c r="T629">
        <v>2734.4</v>
      </c>
      <c r="U629">
        <v>2775.68</v>
      </c>
      <c r="V629">
        <v>2786</v>
      </c>
      <c r="W629">
        <v>2815.04</v>
      </c>
      <c r="X629">
        <v>2834.4</v>
      </c>
      <c r="Y629">
        <v>2852.96</v>
      </c>
      <c r="Z629">
        <v>2880.8</v>
      </c>
      <c r="AA629">
        <v>2889.84</v>
      </c>
      <c r="AB629">
        <v>2926</v>
      </c>
      <c r="AC629">
        <v>2970.4</v>
      </c>
      <c r="AD629">
        <v>3014.4</v>
      </c>
      <c r="AE629">
        <v>3058.2</v>
      </c>
      <c r="AF629">
        <v>3102.1</v>
      </c>
      <c r="AG629">
        <v>3146.1</v>
      </c>
      <c r="AH629">
        <v>3190.4</v>
      </c>
      <c r="AI629">
        <v>1648.665</v>
      </c>
      <c r="AJ629">
        <v>106.93</v>
      </c>
      <c r="AK629">
        <v>110.21000000000001</v>
      </c>
      <c r="AL629">
        <v>113.49</v>
      </c>
    </row>
    <row r="630" spans="1:38" x14ac:dyDescent="0.3">
      <c r="A630">
        <v>3700</v>
      </c>
      <c r="B630">
        <v>245.75</v>
      </c>
      <c r="C630" t="s">
        <v>19</v>
      </c>
      <c r="D630">
        <v>1065.2</v>
      </c>
      <c r="E630">
        <v>2801.4</v>
      </c>
      <c r="F630" t="s">
        <v>21</v>
      </c>
      <c r="G630" t="s">
        <v>21</v>
      </c>
      <c r="H630" t="s">
        <v>21</v>
      </c>
      <c r="I630" t="s">
        <v>21</v>
      </c>
      <c r="J630" t="s">
        <v>21</v>
      </c>
      <c r="K630" t="s">
        <v>21</v>
      </c>
      <c r="L630" t="s">
        <v>21</v>
      </c>
      <c r="M630" t="s">
        <v>21</v>
      </c>
      <c r="N630" t="s">
        <v>51</v>
      </c>
      <c r="O630">
        <v>2816.8</v>
      </c>
      <c r="P630">
        <v>2849.8</v>
      </c>
      <c r="Q630">
        <v>2899.3</v>
      </c>
      <c r="R630">
        <v>2913.9</v>
      </c>
      <c r="S630">
        <v>2943.1000000000004</v>
      </c>
      <c r="T630">
        <v>2972.3</v>
      </c>
      <c r="U630">
        <v>3025.74</v>
      </c>
      <c r="V630">
        <v>3039.1</v>
      </c>
      <c r="W630">
        <v>3076.84</v>
      </c>
      <c r="X630">
        <v>3102</v>
      </c>
      <c r="Y630">
        <v>3126.08</v>
      </c>
      <c r="Z630">
        <v>3162.2</v>
      </c>
      <c r="AA630">
        <v>3173.92</v>
      </c>
      <c r="AB630">
        <v>3220.8</v>
      </c>
      <c r="AC630">
        <v>3278.4</v>
      </c>
      <c r="AD630">
        <v>3335.3</v>
      </c>
      <c r="AE630">
        <v>3391.9</v>
      </c>
      <c r="AF630">
        <v>3448.4</v>
      </c>
      <c r="AG630">
        <v>3504.9</v>
      </c>
      <c r="AH630">
        <v>3561.5</v>
      </c>
      <c r="AI630">
        <v>3420.55</v>
      </c>
      <c r="AJ630">
        <v>3279.6</v>
      </c>
      <c r="AK630">
        <v>3324.85</v>
      </c>
      <c r="AL630">
        <v>3370.1</v>
      </c>
    </row>
    <row r="631" spans="1:38" x14ac:dyDescent="0.3">
      <c r="A631">
        <v>3700</v>
      </c>
      <c r="B631">
        <v>245.75</v>
      </c>
      <c r="C631" t="s">
        <v>20</v>
      </c>
      <c r="D631">
        <v>2.7547000000000001</v>
      </c>
      <c r="E631">
        <v>6.1003999999999996</v>
      </c>
      <c r="F631" t="s">
        <v>21</v>
      </c>
      <c r="G631" t="s">
        <v>21</v>
      </c>
      <c r="H631" t="s">
        <v>21</v>
      </c>
      <c r="I631" t="s">
        <v>21</v>
      </c>
      <c r="J631" t="s">
        <v>21</v>
      </c>
      <c r="K631" t="s">
        <v>21</v>
      </c>
      <c r="L631" t="s">
        <v>21</v>
      </c>
      <c r="M631" t="s">
        <v>21</v>
      </c>
      <c r="N631" t="s">
        <v>51</v>
      </c>
      <c r="O631">
        <v>6.1299000000000001</v>
      </c>
      <c r="P631">
        <v>6.1915800000000001</v>
      </c>
      <c r="Q631">
        <v>6.2840999999999996</v>
      </c>
      <c r="R631">
        <v>6.3101399999999996</v>
      </c>
      <c r="S631">
        <v>6.3622199999999998</v>
      </c>
      <c r="T631">
        <v>6.4142999999999999</v>
      </c>
      <c r="U631">
        <v>6.5055800000000001</v>
      </c>
      <c r="V631">
        <v>6.5284000000000004</v>
      </c>
      <c r="W631">
        <v>6.5902000000000003</v>
      </c>
      <c r="X631">
        <v>6.6314000000000002</v>
      </c>
      <c r="Y631">
        <v>6.6693199999999999</v>
      </c>
      <c r="Z631">
        <v>6.7262000000000004</v>
      </c>
      <c r="AA631">
        <v>6.7439400000000003</v>
      </c>
      <c r="AB631">
        <v>6.8148999999999997</v>
      </c>
      <c r="AC631">
        <v>6.8989000000000003</v>
      </c>
      <c r="AD631">
        <v>6.9790000000000001</v>
      </c>
      <c r="AE631">
        <v>7.0559000000000003</v>
      </c>
      <c r="AF631">
        <v>7.1302000000000003</v>
      </c>
      <c r="AG631">
        <v>7.2020999999999997</v>
      </c>
      <c r="AH631">
        <v>7.2718999999999996</v>
      </c>
      <c r="AI631">
        <v>1841.2359499999998</v>
      </c>
      <c r="AJ631">
        <v>3675.2</v>
      </c>
      <c r="AK631">
        <v>3732.6</v>
      </c>
      <c r="AL631">
        <v>3790</v>
      </c>
    </row>
    <row r="632" spans="1:38" x14ac:dyDescent="0.3">
      <c r="A632">
        <v>3800</v>
      </c>
      <c r="B632">
        <v>247.31</v>
      </c>
      <c r="C632" t="s">
        <v>0</v>
      </c>
      <c r="D632">
        <v>1.2450000000000001</v>
      </c>
      <c r="E632">
        <v>52.438000000000002</v>
      </c>
      <c r="F632" t="s">
        <v>21</v>
      </c>
      <c r="G632" t="s">
        <v>21</v>
      </c>
      <c r="H632" t="s">
        <v>21</v>
      </c>
      <c r="I632" t="s">
        <v>21</v>
      </c>
      <c r="J632" t="s">
        <v>21</v>
      </c>
      <c r="K632" t="s">
        <v>21</v>
      </c>
      <c r="L632" t="s">
        <v>21</v>
      </c>
      <c r="M632" t="s">
        <v>21</v>
      </c>
      <c r="N632" t="s">
        <v>51</v>
      </c>
      <c r="O632">
        <v>53.017000000000003</v>
      </c>
      <c r="P632">
        <v>54.997400000000006</v>
      </c>
      <c r="Q632">
        <v>57.968000000000004</v>
      </c>
      <c r="R632">
        <v>58.848800000000004</v>
      </c>
      <c r="S632">
        <v>60.610399999999998</v>
      </c>
      <c r="T632">
        <v>62.372</v>
      </c>
      <c r="U632">
        <v>65.617599999999996</v>
      </c>
      <c r="V632">
        <v>66.429000000000002</v>
      </c>
      <c r="W632">
        <v>68.724000000000004</v>
      </c>
      <c r="X632">
        <v>70.254000000000005</v>
      </c>
      <c r="Y632">
        <v>71.720399999999998</v>
      </c>
      <c r="Z632">
        <v>73.92</v>
      </c>
      <c r="AA632">
        <v>74.630600000000001</v>
      </c>
      <c r="AB632">
        <v>77.472999999999999</v>
      </c>
      <c r="AC632">
        <v>80.944000000000003</v>
      </c>
      <c r="AD632">
        <v>84.352999999999994</v>
      </c>
      <c r="AE632">
        <v>87.713999999999999</v>
      </c>
      <c r="AF632">
        <v>91.037999999999997</v>
      </c>
      <c r="AG632">
        <v>94.33</v>
      </c>
      <c r="AH632">
        <v>97.596000000000004</v>
      </c>
      <c r="AI632">
        <v>52.501049999999999</v>
      </c>
      <c r="AJ632">
        <v>7.4061000000000003</v>
      </c>
      <c r="AK632">
        <v>7.4700000000000006</v>
      </c>
      <c r="AL632">
        <v>7.5339</v>
      </c>
    </row>
    <row r="633" spans="1:38" x14ac:dyDescent="0.3">
      <c r="A633">
        <v>3800</v>
      </c>
      <c r="B633">
        <v>247.31</v>
      </c>
      <c r="C633" t="s">
        <v>18</v>
      </c>
      <c r="D633">
        <v>1068</v>
      </c>
      <c r="E633">
        <v>2601.9</v>
      </c>
      <c r="F633" t="s">
        <v>21</v>
      </c>
      <c r="G633" t="s">
        <v>21</v>
      </c>
      <c r="H633" t="s">
        <v>21</v>
      </c>
      <c r="I633" t="s">
        <v>21</v>
      </c>
      <c r="J633" t="s">
        <v>21</v>
      </c>
      <c r="K633" t="s">
        <v>21</v>
      </c>
      <c r="L633" t="s">
        <v>21</v>
      </c>
      <c r="M633" t="s">
        <v>21</v>
      </c>
      <c r="N633" t="s">
        <v>51</v>
      </c>
      <c r="O633">
        <v>2609.5</v>
      </c>
      <c r="P633">
        <v>2635.58</v>
      </c>
      <c r="Q633">
        <v>2674.7</v>
      </c>
      <c r="R633">
        <v>2686.14</v>
      </c>
      <c r="S633">
        <v>2709.02</v>
      </c>
      <c r="T633">
        <v>2731.9</v>
      </c>
      <c r="U633">
        <v>2773.5</v>
      </c>
      <c r="V633">
        <v>2783.9</v>
      </c>
      <c r="W633">
        <v>2813.18</v>
      </c>
      <c r="X633">
        <v>2832.7</v>
      </c>
      <c r="Y633">
        <v>2851.38</v>
      </c>
      <c r="Z633">
        <v>2879.4</v>
      </c>
      <c r="AA633">
        <v>2888.46</v>
      </c>
      <c r="AB633">
        <v>2924.7</v>
      </c>
      <c r="AC633">
        <v>2969.3</v>
      </c>
      <c r="AD633">
        <v>3013.4</v>
      </c>
      <c r="AE633">
        <v>3057.3</v>
      </c>
      <c r="AF633">
        <v>3101.3</v>
      </c>
      <c r="AG633">
        <v>3145.4</v>
      </c>
      <c r="AH633">
        <v>3189.6</v>
      </c>
      <c r="AI633">
        <v>1646.83</v>
      </c>
      <c r="AJ633">
        <v>104.06</v>
      </c>
      <c r="AK633">
        <v>107.25999999999999</v>
      </c>
      <c r="AL633">
        <v>110.46</v>
      </c>
    </row>
    <row r="634" spans="1:38" x14ac:dyDescent="0.3">
      <c r="A634">
        <v>3800</v>
      </c>
      <c r="B634">
        <v>247.31</v>
      </c>
      <c r="C634" t="s">
        <v>19</v>
      </c>
      <c r="D634">
        <v>1072.7</v>
      </c>
      <c r="E634">
        <v>2801.1</v>
      </c>
      <c r="F634" t="s">
        <v>21</v>
      </c>
      <c r="G634" t="s">
        <v>21</v>
      </c>
      <c r="H634" t="s">
        <v>21</v>
      </c>
      <c r="I634" t="s">
        <v>21</v>
      </c>
      <c r="J634" t="s">
        <v>21</v>
      </c>
      <c r="K634" t="s">
        <v>21</v>
      </c>
      <c r="L634" t="s">
        <v>21</v>
      </c>
      <c r="M634" t="s">
        <v>21</v>
      </c>
      <c r="N634" t="s">
        <v>51</v>
      </c>
      <c r="O634">
        <v>2811</v>
      </c>
      <c r="P634">
        <v>2844.6</v>
      </c>
      <c r="Q634">
        <v>2895</v>
      </c>
      <c r="R634">
        <v>2909.78</v>
      </c>
      <c r="S634">
        <v>2939.34</v>
      </c>
      <c r="T634">
        <v>2968.9</v>
      </c>
      <c r="U634">
        <v>3022.9</v>
      </c>
      <c r="V634">
        <v>3036.4</v>
      </c>
      <c r="W634">
        <v>3074.38</v>
      </c>
      <c r="X634">
        <v>3099.7</v>
      </c>
      <c r="Y634">
        <v>3123.94</v>
      </c>
      <c r="Z634">
        <v>3160.3</v>
      </c>
      <c r="AA634">
        <v>3172.06</v>
      </c>
      <c r="AB634">
        <v>3219.1</v>
      </c>
      <c r="AC634">
        <v>3276.8</v>
      </c>
      <c r="AD634">
        <v>3333.9</v>
      </c>
      <c r="AE634">
        <v>3390.7</v>
      </c>
      <c r="AF634">
        <v>3447.2</v>
      </c>
      <c r="AG634">
        <v>3503.8</v>
      </c>
      <c r="AH634">
        <v>3560.5</v>
      </c>
      <c r="AI634">
        <v>3419.75</v>
      </c>
      <c r="AJ634">
        <v>3279</v>
      </c>
      <c r="AK634">
        <v>3324.25</v>
      </c>
      <c r="AL634">
        <v>3369.5</v>
      </c>
    </row>
    <row r="635" spans="1:38" x14ac:dyDescent="0.3">
      <c r="A635">
        <v>3800</v>
      </c>
      <c r="B635">
        <v>247.31</v>
      </c>
      <c r="C635" t="s">
        <v>20</v>
      </c>
      <c r="D635">
        <v>2.7688999999999999</v>
      </c>
      <c r="E635">
        <v>6.0895999999999999</v>
      </c>
      <c r="F635" t="s">
        <v>21</v>
      </c>
      <c r="G635" t="s">
        <v>21</v>
      </c>
      <c r="H635" t="s">
        <v>21</v>
      </c>
      <c r="I635" t="s">
        <v>21</v>
      </c>
      <c r="J635" t="s">
        <v>21</v>
      </c>
      <c r="K635" t="s">
        <v>21</v>
      </c>
      <c r="L635" t="s">
        <v>21</v>
      </c>
      <c r="M635" t="s">
        <v>21</v>
      </c>
      <c r="N635" t="s">
        <v>51</v>
      </c>
      <c r="O635">
        <v>6.1085000000000003</v>
      </c>
      <c r="P635">
        <v>6.1712600000000002</v>
      </c>
      <c r="Q635">
        <v>6.2653999999999996</v>
      </c>
      <c r="R635">
        <v>6.2917800000000002</v>
      </c>
      <c r="S635">
        <v>6.3445400000000003</v>
      </c>
      <c r="T635">
        <v>6.3973000000000004</v>
      </c>
      <c r="U635">
        <v>6.4895399999999999</v>
      </c>
      <c r="V635">
        <v>6.5125999999999999</v>
      </c>
      <c r="W635">
        <v>6.5748199999999999</v>
      </c>
      <c r="X635">
        <v>6.6162999999999998</v>
      </c>
      <c r="Y635">
        <v>6.6544600000000003</v>
      </c>
      <c r="Z635">
        <v>6.7117000000000004</v>
      </c>
      <c r="AA635">
        <v>6.7295000000000007</v>
      </c>
      <c r="AB635">
        <v>6.8007</v>
      </c>
      <c r="AC635">
        <v>6.8849</v>
      </c>
      <c r="AD635">
        <v>6.9653</v>
      </c>
      <c r="AE635">
        <v>7.0423999999999998</v>
      </c>
      <c r="AF635">
        <v>7.1167999999999996</v>
      </c>
      <c r="AG635">
        <v>7.1887999999999996</v>
      </c>
      <c r="AH635">
        <v>7.2587000000000002</v>
      </c>
      <c r="AI635">
        <v>1840.8293500000002</v>
      </c>
      <c r="AJ635">
        <v>3674.4</v>
      </c>
      <c r="AK635">
        <v>3731.8500000000004</v>
      </c>
      <c r="AL635">
        <v>3789.3</v>
      </c>
    </row>
    <row r="636" spans="1:38" x14ac:dyDescent="0.3">
      <c r="A636">
        <v>3900</v>
      </c>
      <c r="B636">
        <v>248.84</v>
      </c>
      <c r="C636" t="s">
        <v>0</v>
      </c>
      <c r="D636">
        <v>1.2490000000000001</v>
      </c>
      <c r="E636">
        <v>51.061</v>
      </c>
      <c r="F636" t="s">
        <v>21</v>
      </c>
      <c r="G636" t="s">
        <v>21</v>
      </c>
      <c r="H636" t="s">
        <v>21</v>
      </c>
      <c r="I636" t="s">
        <v>21</v>
      </c>
      <c r="J636" t="s">
        <v>21</v>
      </c>
      <c r="K636" t="s">
        <v>21</v>
      </c>
      <c r="L636" t="s">
        <v>21</v>
      </c>
      <c r="M636" t="s">
        <v>21</v>
      </c>
      <c r="N636" t="s">
        <v>51</v>
      </c>
      <c r="O636">
        <v>51.308</v>
      </c>
      <c r="P636">
        <v>53.270800000000001</v>
      </c>
      <c r="Q636">
        <v>56.215000000000003</v>
      </c>
      <c r="R636">
        <v>57.083600000000004</v>
      </c>
      <c r="S636">
        <v>58.820800000000006</v>
      </c>
      <c r="T636">
        <v>60.558</v>
      </c>
      <c r="U636">
        <v>63.749199999999995</v>
      </c>
      <c r="V636">
        <v>64.546999999999997</v>
      </c>
      <c r="W636">
        <v>66.8</v>
      </c>
      <c r="X636">
        <v>68.302000000000007</v>
      </c>
      <c r="Y636">
        <v>69.738800000000012</v>
      </c>
      <c r="Z636">
        <v>71.894000000000005</v>
      </c>
      <c r="AA636">
        <v>72.589600000000004</v>
      </c>
      <c r="AB636">
        <v>75.372</v>
      </c>
      <c r="AC636">
        <v>78.766999999999996</v>
      </c>
      <c r="AD636">
        <v>82.099000000000004</v>
      </c>
      <c r="AE636">
        <v>85.382999999999996</v>
      </c>
      <c r="AF636">
        <v>88.629000000000005</v>
      </c>
      <c r="AG636">
        <v>91.843999999999994</v>
      </c>
      <c r="AH636">
        <v>95.033000000000001</v>
      </c>
      <c r="AI636">
        <v>51.213050000000003</v>
      </c>
      <c r="AJ636">
        <v>7.3930999999999996</v>
      </c>
      <c r="AK636">
        <v>7.4570499999999997</v>
      </c>
      <c r="AL636">
        <v>7.5209999999999999</v>
      </c>
    </row>
    <row r="637" spans="1:38" x14ac:dyDescent="0.3">
      <c r="A637">
        <v>3900</v>
      </c>
      <c r="B637">
        <v>248.84</v>
      </c>
      <c r="C637" t="s">
        <v>18</v>
      </c>
      <c r="D637">
        <v>1075.3</v>
      </c>
      <c r="E637">
        <v>2601.6</v>
      </c>
      <c r="F637" t="s">
        <v>21</v>
      </c>
      <c r="G637" t="s">
        <v>21</v>
      </c>
      <c r="H637" t="s">
        <v>21</v>
      </c>
      <c r="I637" t="s">
        <v>21</v>
      </c>
      <c r="J637" t="s">
        <v>21</v>
      </c>
      <c r="K637" t="s">
        <v>21</v>
      </c>
      <c r="L637" t="s">
        <v>21</v>
      </c>
      <c r="M637" t="s">
        <v>21</v>
      </c>
      <c r="N637" t="s">
        <v>51</v>
      </c>
      <c r="O637">
        <v>2605</v>
      </c>
      <c r="P637">
        <v>2631.56</v>
      </c>
      <c r="Q637">
        <v>2671.4</v>
      </c>
      <c r="R637">
        <v>2682.98</v>
      </c>
      <c r="S637">
        <v>2706.1400000000003</v>
      </c>
      <c r="T637">
        <v>2729.3</v>
      </c>
      <c r="U637">
        <v>2771.38</v>
      </c>
      <c r="V637">
        <v>2781.9</v>
      </c>
      <c r="W637">
        <v>2811.36</v>
      </c>
      <c r="X637">
        <v>2831</v>
      </c>
      <c r="Y637">
        <v>2849.76</v>
      </c>
      <c r="Z637">
        <v>2877.9</v>
      </c>
      <c r="AA637">
        <v>2887.02</v>
      </c>
      <c r="AB637">
        <v>2923.5</v>
      </c>
      <c r="AC637">
        <v>2968.2</v>
      </c>
      <c r="AD637">
        <v>3012.4</v>
      </c>
      <c r="AE637">
        <v>3056.4</v>
      </c>
      <c r="AF637">
        <v>3100.5</v>
      </c>
      <c r="AG637">
        <v>3144.6</v>
      </c>
      <c r="AH637">
        <v>3188.9</v>
      </c>
      <c r="AI637">
        <v>1645.125</v>
      </c>
      <c r="AJ637">
        <v>101.35</v>
      </c>
      <c r="AK637">
        <v>104.47</v>
      </c>
      <c r="AL637">
        <v>107.59</v>
      </c>
    </row>
    <row r="638" spans="1:38" x14ac:dyDescent="0.3">
      <c r="A638">
        <v>3900</v>
      </c>
      <c r="B638">
        <v>248.84</v>
      </c>
      <c r="C638" t="s">
        <v>19</v>
      </c>
      <c r="D638">
        <v>1080.0999999999999</v>
      </c>
      <c r="E638">
        <v>2800.8</v>
      </c>
      <c r="F638" t="s">
        <v>21</v>
      </c>
      <c r="G638" t="s">
        <v>21</v>
      </c>
      <c r="H638" t="s">
        <v>21</v>
      </c>
      <c r="I638" t="s">
        <v>21</v>
      </c>
      <c r="J638" t="s">
        <v>21</v>
      </c>
      <c r="K638" t="s">
        <v>21</v>
      </c>
      <c r="L638" t="s">
        <v>21</v>
      </c>
      <c r="M638" t="s">
        <v>21</v>
      </c>
      <c r="N638" t="s">
        <v>51</v>
      </c>
      <c r="O638">
        <v>2805.1</v>
      </c>
      <c r="P638">
        <v>2839.2999999999997</v>
      </c>
      <c r="Q638">
        <v>2890.6</v>
      </c>
      <c r="R638">
        <v>2905.58</v>
      </c>
      <c r="S638">
        <v>2935.54</v>
      </c>
      <c r="T638">
        <v>2965.5</v>
      </c>
      <c r="U638">
        <v>3019.98</v>
      </c>
      <c r="V638">
        <v>3033.6</v>
      </c>
      <c r="W638">
        <v>3071.88</v>
      </c>
      <c r="X638">
        <v>3097.4</v>
      </c>
      <c r="Y638">
        <v>3121.76</v>
      </c>
      <c r="Z638">
        <v>3158.3</v>
      </c>
      <c r="AA638">
        <v>3170.1200000000003</v>
      </c>
      <c r="AB638">
        <v>3217.4</v>
      </c>
      <c r="AC638">
        <v>3275.3</v>
      </c>
      <c r="AD638">
        <v>3332.6</v>
      </c>
      <c r="AE638">
        <v>3389.4</v>
      </c>
      <c r="AF638">
        <v>3446.1</v>
      </c>
      <c r="AG638">
        <v>3502.8</v>
      </c>
      <c r="AH638">
        <v>3559.5</v>
      </c>
      <c r="AI638">
        <v>3418.9</v>
      </c>
      <c r="AJ638">
        <v>3278.3</v>
      </c>
      <c r="AK638">
        <v>3323.65</v>
      </c>
      <c r="AL638">
        <v>3369</v>
      </c>
    </row>
    <row r="639" spans="1:38" x14ac:dyDescent="0.3">
      <c r="A639">
        <v>3900</v>
      </c>
      <c r="B639">
        <v>248.84</v>
      </c>
      <c r="C639" t="s">
        <v>20</v>
      </c>
      <c r="D639">
        <v>2.7827999999999999</v>
      </c>
      <c r="E639">
        <v>6.0789</v>
      </c>
      <c r="F639" t="s">
        <v>21</v>
      </c>
      <c r="G639" t="s">
        <v>21</v>
      </c>
      <c r="H639" t="s">
        <v>21</v>
      </c>
      <c r="I639" t="s">
        <v>21</v>
      </c>
      <c r="J639" t="s">
        <v>21</v>
      </c>
      <c r="K639" t="s">
        <v>21</v>
      </c>
      <c r="L639" t="s">
        <v>21</v>
      </c>
      <c r="M639" t="s">
        <v>21</v>
      </c>
      <c r="N639" t="s">
        <v>51</v>
      </c>
      <c r="O639">
        <v>6.0872000000000002</v>
      </c>
      <c r="P639">
        <v>6.1511199999999997</v>
      </c>
      <c r="Q639">
        <v>6.2469999999999999</v>
      </c>
      <c r="R639">
        <v>6.27372</v>
      </c>
      <c r="S639">
        <v>6.3271600000000001</v>
      </c>
      <c r="T639">
        <v>6.3806000000000003</v>
      </c>
      <c r="U639">
        <v>6.4737200000000001</v>
      </c>
      <c r="V639">
        <v>6.4969999999999999</v>
      </c>
      <c r="W639">
        <v>6.5596999999999994</v>
      </c>
      <c r="X639">
        <v>6.6014999999999997</v>
      </c>
      <c r="Y639">
        <v>6.6398599999999997</v>
      </c>
      <c r="Z639">
        <v>6.6974</v>
      </c>
      <c r="AA639">
        <v>6.7152799999999999</v>
      </c>
      <c r="AB639">
        <v>6.7868000000000004</v>
      </c>
      <c r="AC639">
        <v>6.8712999999999997</v>
      </c>
      <c r="AD639">
        <v>6.9519000000000002</v>
      </c>
      <c r="AE639">
        <v>7.0292000000000003</v>
      </c>
      <c r="AF639">
        <v>7.1036999999999999</v>
      </c>
      <c r="AG639">
        <v>7.1759000000000004</v>
      </c>
      <c r="AH639">
        <v>7.2458999999999998</v>
      </c>
      <c r="AI639">
        <v>1840.4229499999999</v>
      </c>
      <c r="AJ639">
        <v>3673.6</v>
      </c>
      <c r="AK639">
        <v>3731.1</v>
      </c>
      <c r="AL639">
        <v>3788.6</v>
      </c>
    </row>
    <row r="640" spans="1:38" x14ac:dyDescent="0.3">
      <c r="A640">
        <v>4000</v>
      </c>
      <c r="B640">
        <v>250.33</v>
      </c>
      <c r="C640" t="s">
        <v>0</v>
      </c>
      <c r="D640">
        <v>1.252</v>
      </c>
      <c r="E640">
        <v>49.749000000000002</v>
      </c>
      <c r="F640" t="s">
        <v>21</v>
      </c>
      <c r="G640" t="s">
        <v>21</v>
      </c>
      <c r="H640" t="s">
        <v>21</v>
      </c>
      <c r="I640" t="s">
        <v>21</v>
      </c>
      <c r="J640" t="s">
        <v>21</v>
      </c>
      <c r="K640" t="s">
        <v>21</v>
      </c>
      <c r="L640" t="s">
        <v>21</v>
      </c>
      <c r="M640" t="s">
        <v>21</v>
      </c>
      <c r="N640" t="s">
        <v>51</v>
      </c>
      <c r="O640" t="s">
        <v>21</v>
      </c>
      <c r="P640">
        <v>51.629299554114311</v>
      </c>
      <c r="Q640">
        <v>54.545999999999999</v>
      </c>
      <c r="R640">
        <v>55.403399999999998</v>
      </c>
      <c r="S640">
        <v>57.118200000000002</v>
      </c>
      <c r="T640">
        <v>58.832999999999998</v>
      </c>
      <c r="U640">
        <v>61.973799999999997</v>
      </c>
      <c r="V640">
        <v>62.759</v>
      </c>
      <c r="W640">
        <v>64.971199999999996</v>
      </c>
      <c r="X640">
        <v>66.445999999999998</v>
      </c>
      <c r="Y640">
        <v>67.855199999999996</v>
      </c>
      <c r="Z640">
        <v>69.968999999999994</v>
      </c>
      <c r="AA640">
        <v>70.650399999999991</v>
      </c>
      <c r="AB640">
        <v>73.376000000000005</v>
      </c>
      <c r="AC640">
        <v>76.697999999999993</v>
      </c>
      <c r="AD640">
        <v>79.957999999999998</v>
      </c>
      <c r="AE640">
        <v>83.168999999999997</v>
      </c>
      <c r="AF640">
        <v>86.340999999999994</v>
      </c>
      <c r="AG640">
        <v>89.483000000000004</v>
      </c>
      <c r="AH640">
        <v>92.597999999999999</v>
      </c>
      <c r="AI640">
        <v>49.989199999999997</v>
      </c>
      <c r="AJ640">
        <v>7.3803999999999998</v>
      </c>
      <c r="AK640">
        <v>7.4443999999999999</v>
      </c>
      <c r="AL640">
        <v>7.5084</v>
      </c>
    </row>
    <row r="641" spans="1:38" x14ac:dyDescent="0.3">
      <c r="A641">
        <v>4000</v>
      </c>
      <c r="B641">
        <v>250.33</v>
      </c>
      <c r="C641" t="s">
        <v>18</v>
      </c>
      <c r="D641">
        <v>1082.4000000000001</v>
      </c>
      <c r="E641">
        <v>2601.3000000000002</v>
      </c>
      <c r="F641" t="s">
        <v>21</v>
      </c>
      <c r="G641" t="s">
        <v>21</v>
      </c>
      <c r="H641" t="s">
        <v>21</v>
      </c>
      <c r="I641" t="s">
        <v>21</v>
      </c>
      <c r="J641" t="s">
        <v>21</v>
      </c>
      <c r="K641" t="s">
        <v>21</v>
      </c>
      <c r="L641" t="s">
        <v>21</v>
      </c>
      <c r="M641" t="s">
        <v>21</v>
      </c>
      <c r="N641" t="s">
        <v>51</v>
      </c>
      <c r="O641" t="s">
        <v>21</v>
      </c>
      <c r="P641">
        <v>2627.4446696392379</v>
      </c>
      <c r="Q641">
        <v>2668</v>
      </c>
      <c r="R641">
        <v>2679.74</v>
      </c>
      <c r="S641">
        <v>2703.22</v>
      </c>
      <c r="T641">
        <v>2726.7</v>
      </c>
      <c r="U641">
        <v>2769.1800000000003</v>
      </c>
      <c r="V641">
        <v>2779.8</v>
      </c>
      <c r="W641">
        <v>2809.5</v>
      </c>
      <c r="X641">
        <v>2829.3</v>
      </c>
      <c r="Y641">
        <v>2848.1800000000003</v>
      </c>
      <c r="Z641">
        <v>2876.5</v>
      </c>
      <c r="AA641">
        <v>2885.64</v>
      </c>
      <c r="AB641">
        <v>2922.2</v>
      </c>
      <c r="AC641">
        <v>2967</v>
      </c>
      <c r="AD641">
        <v>3011.4</v>
      </c>
      <c r="AE641">
        <v>3055.5</v>
      </c>
      <c r="AF641">
        <v>3099.6</v>
      </c>
      <c r="AG641">
        <v>3143.8</v>
      </c>
      <c r="AH641">
        <v>3188.2</v>
      </c>
      <c r="AI641">
        <v>1643.4814999999999</v>
      </c>
      <c r="AJ641">
        <v>98.763000000000005</v>
      </c>
      <c r="AK641">
        <v>101.8115</v>
      </c>
      <c r="AL641">
        <v>104.86</v>
      </c>
    </row>
    <row r="642" spans="1:38" x14ac:dyDescent="0.3">
      <c r="A642">
        <v>4000</v>
      </c>
      <c r="B642">
        <v>250.33</v>
      </c>
      <c r="C642" t="s">
        <v>19</v>
      </c>
      <c r="D642">
        <v>1087.4000000000001</v>
      </c>
      <c r="E642">
        <v>2800.3</v>
      </c>
      <c r="F642" t="s">
        <v>21</v>
      </c>
      <c r="G642" t="s">
        <v>21</v>
      </c>
      <c r="H642" t="s">
        <v>21</v>
      </c>
      <c r="I642" t="s">
        <v>21</v>
      </c>
      <c r="J642" t="s">
        <v>21</v>
      </c>
      <c r="K642" t="s">
        <v>21</v>
      </c>
      <c r="L642" t="s">
        <v>21</v>
      </c>
      <c r="M642" t="s">
        <v>21</v>
      </c>
      <c r="N642" t="s">
        <v>51</v>
      </c>
      <c r="O642" t="s">
        <v>21</v>
      </c>
      <c r="P642">
        <v>2833.93137413863</v>
      </c>
      <c r="Q642">
        <v>2886.1</v>
      </c>
      <c r="R642">
        <v>2901.2799999999997</v>
      </c>
      <c r="S642">
        <v>2931.64</v>
      </c>
      <c r="T642">
        <v>2962</v>
      </c>
      <c r="U642">
        <v>3017.04</v>
      </c>
      <c r="V642">
        <v>3030.8</v>
      </c>
      <c r="W642">
        <v>3069.38</v>
      </c>
      <c r="X642">
        <v>3095.1</v>
      </c>
      <c r="Y642">
        <v>3119.62</v>
      </c>
      <c r="Z642">
        <v>3156.4</v>
      </c>
      <c r="AA642">
        <v>3168.26</v>
      </c>
      <c r="AB642">
        <v>3215.7</v>
      </c>
      <c r="AC642">
        <v>3273.8</v>
      </c>
      <c r="AD642">
        <v>3331.2</v>
      </c>
      <c r="AE642">
        <v>3388.2</v>
      </c>
      <c r="AF642">
        <v>3445</v>
      </c>
      <c r="AG642">
        <v>3501.7</v>
      </c>
      <c r="AH642">
        <v>3558.6</v>
      </c>
      <c r="AI642">
        <v>3418.1499999999996</v>
      </c>
      <c r="AJ642">
        <v>3277.7</v>
      </c>
      <c r="AK642">
        <v>3323.05</v>
      </c>
      <c r="AL642">
        <v>3368.4</v>
      </c>
    </row>
    <row r="643" spans="1:38" x14ac:dyDescent="0.3">
      <c r="A643">
        <v>4000</v>
      </c>
      <c r="B643">
        <v>250.33</v>
      </c>
      <c r="C643" t="s">
        <v>20</v>
      </c>
      <c r="D643">
        <v>2.7965</v>
      </c>
      <c r="E643">
        <v>6.0685000000000002</v>
      </c>
      <c r="F643" t="s">
        <v>21</v>
      </c>
      <c r="G643" t="s">
        <v>21</v>
      </c>
      <c r="H643" t="s">
        <v>21</v>
      </c>
      <c r="I643" t="s">
        <v>21</v>
      </c>
      <c r="J643" t="s">
        <v>21</v>
      </c>
      <c r="K643" t="s">
        <v>21</v>
      </c>
      <c r="L643" t="s">
        <v>21</v>
      </c>
      <c r="M643" t="s">
        <v>21</v>
      </c>
      <c r="N643" t="s">
        <v>21</v>
      </c>
      <c r="O643" t="s">
        <v>21</v>
      </c>
      <c r="P643">
        <v>6.1313334414268343</v>
      </c>
      <c r="Q643">
        <v>6.2287999999999997</v>
      </c>
      <c r="R643">
        <v>6.2558799999999994</v>
      </c>
      <c r="S643">
        <v>6.3100399999999999</v>
      </c>
      <c r="T643">
        <v>6.3642000000000003</v>
      </c>
      <c r="U643">
        <v>6.4581999999999997</v>
      </c>
      <c r="V643">
        <v>6.4817</v>
      </c>
      <c r="W643">
        <v>6.54488</v>
      </c>
      <c r="X643">
        <v>6.5869999999999997</v>
      </c>
      <c r="Y643">
        <v>6.6255600000000001</v>
      </c>
      <c r="Z643">
        <v>6.6833999999999998</v>
      </c>
      <c r="AA643">
        <v>6.7013799999999994</v>
      </c>
      <c r="AB643">
        <v>6.7732999999999999</v>
      </c>
      <c r="AC643">
        <v>6.8581000000000003</v>
      </c>
      <c r="AD643">
        <v>6.9387999999999996</v>
      </c>
      <c r="AE643">
        <v>7.0163000000000002</v>
      </c>
      <c r="AF643">
        <v>7.0909000000000004</v>
      </c>
      <c r="AG643">
        <v>7.1631999999999998</v>
      </c>
      <c r="AH643">
        <v>7.2332999999999998</v>
      </c>
      <c r="AI643">
        <v>1840.0166500000003</v>
      </c>
      <c r="AJ643">
        <v>3672.8</v>
      </c>
      <c r="AK643">
        <v>3730.3500000000004</v>
      </c>
      <c r="AL643">
        <v>3787.9</v>
      </c>
    </row>
    <row r="644" spans="1:38" x14ac:dyDescent="0.3">
      <c r="A644">
        <v>4100</v>
      </c>
      <c r="B644">
        <v>251.8</v>
      </c>
      <c r="C644" t="s">
        <v>0</v>
      </c>
      <c r="D644">
        <v>1.256</v>
      </c>
      <c r="E644">
        <v>48.5</v>
      </c>
      <c r="F644" t="s">
        <v>21</v>
      </c>
      <c r="G644" t="s">
        <v>21</v>
      </c>
      <c r="H644" t="s">
        <v>21</v>
      </c>
      <c r="I644" t="s">
        <v>21</v>
      </c>
      <c r="J644" t="s">
        <v>21</v>
      </c>
      <c r="K644" t="s">
        <v>21</v>
      </c>
      <c r="L644" t="s">
        <v>21</v>
      </c>
      <c r="M644" t="s">
        <v>21</v>
      </c>
      <c r="N644" t="s">
        <v>21</v>
      </c>
      <c r="O644" t="s">
        <v>21</v>
      </c>
      <c r="P644">
        <v>50.15</v>
      </c>
      <c r="Q644">
        <v>52.954999999999998</v>
      </c>
      <c r="R644">
        <v>53.802199999999999</v>
      </c>
      <c r="S644">
        <v>55.496600000000001</v>
      </c>
      <c r="T644">
        <v>57.191000000000003</v>
      </c>
      <c r="U644">
        <v>60.283799999999999</v>
      </c>
      <c r="V644">
        <v>61.057000000000002</v>
      </c>
      <c r="W644">
        <v>63.230800000000002</v>
      </c>
      <c r="X644">
        <v>64.680000000000007</v>
      </c>
      <c r="Y644">
        <v>66.06280000000001</v>
      </c>
      <c r="Z644">
        <v>68.137</v>
      </c>
      <c r="AA644">
        <v>68.8048</v>
      </c>
      <c r="AB644">
        <v>71.475999999999999</v>
      </c>
      <c r="AC644">
        <v>74.73</v>
      </c>
      <c r="AD644">
        <v>77.921000000000006</v>
      </c>
      <c r="AE644">
        <v>81.061999999999998</v>
      </c>
      <c r="AF644">
        <v>84.165000000000006</v>
      </c>
      <c r="AG644">
        <v>87.236000000000004</v>
      </c>
      <c r="AH644">
        <v>90.281000000000006</v>
      </c>
      <c r="AI644">
        <v>93.302999999999997</v>
      </c>
      <c r="AJ644">
        <v>96.305999999999997</v>
      </c>
      <c r="AK644">
        <v>99.283000000000001</v>
      </c>
      <c r="AL644">
        <v>102.26</v>
      </c>
    </row>
    <row r="645" spans="1:38" x14ac:dyDescent="0.3">
      <c r="A645">
        <v>4100</v>
      </c>
      <c r="B645">
        <v>251.8</v>
      </c>
      <c r="C645" t="s">
        <v>18</v>
      </c>
      <c r="D645">
        <v>1089.4000000000001</v>
      </c>
      <c r="E645">
        <v>2601</v>
      </c>
      <c r="F645" t="s">
        <v>21</v>
      </c>
      <c r="G645" t="s">
        <v>21</v>
      </c>
      <c r="H645" t="s">
        <v>21</v>
      </c>
      <c r="I645" t="s">
        <v>21</v>
      </c>
      <c r="J645" t="s">
        <v>21</v>
      </c>
      <c r="K645" t="s">
        <v>21</v>
      </c>
      <c r="L645" t="s">
        <v>21</v>
      </c>
      <c r="M645" t="s">
        <v>21</v>
      </c>
      <c r="N645" t="s">
        <v>21</v>
      </c>
      <c r="O645" t="s">
        <v>21</v>
      </c>
      <c r="P645">
        <v>2624.6</v>
      </c>
      <c r="Q645">
        <v>2664.5</v>
      </c>
      <c r="R645">
        <v>2676.4</v>
      </c>
      <c r="S645">
        <v>2700.2</v>
      </c>
      <c r="T645">
        <v>2724</v>
      </c>
      <c r="U645">
        <v>2766.96</v>
      </c>
      <c r="V645">
        <v>2777.7</v>
      </c>
      <c r="W645">
        <v>2807.64</v>
      </c>
      <c r="X645">
        <v>2827.6</v>
      </c>
      <c r="Y645">
        <v>2846.56</v>
      </c>
      <c r="Z645">
        <v>2875</v>
      </c>
      <c r="AA645">
        <v>2884.18</v>
      </c>
      <c r="AB645">
        <v>2920.9</v>
      </c>
      <c r="AC645">
        <v>2965.9</v>
      </c>
      <c r="AD645">
        <v>3010.4</v>
      </c>
      <c r="AE645">
        <v>3054.6</v>
      </c>
      <c r="AF645">
        <v>3098.8</v>
      </c>
      <c r="AG645">
        <v>3143</v>
      </c>
      <c r="AH645">
        <v>3187.5</v>
      </c>
      <c r="AI645">
        <v>3232.1</v>
      </c>
      <c r="AJ645">
        <v>3277.1</v>
      </c>
      <c r="AK645">
        <v>3322.5</v>
      </c>
      <c r="AL645">
        <v>3367.9</v>
      </c>
    </row>
    <row r="646" spans="1:38" x14ac:dyDescent="0.3">
      <c r="A646">
        <v>4100</v>
      </c>
      <c r="B646">
        <v>251.8</v>
      </c>
      <c r="C646" t="s">
        <v>19</v>
      </c>
      <c r="D646">
        <v>1094.5999999999999</v>
      </c>
      <c r="E646">
        <v>2799.9</v>
      </c>
      <c r="F646" t="s">
        <v>21</v>
      </c>
      <c r="G646" t="s">
        <v>21</v>
      </c>
      <c r="H646" t="s">
        <v>21</v>
      </c>
      <c r="I646" t="s">
        <v>21</v>
      </c>
      <c r="J646" t="s">
        <v>21</v>
      </c>
      <c r="K646" t="s">
        <v>21</v>
      </c>
      <c r="L646" t="s">
        <v>21</v>
      </c>
      <c r="M646" t="s">
        <v>21</v>
      </c>
      <c r="N646" t="s">
        <v>21</v>
      </c>
      <c r="O646" t="s">
        <v>21</v>
      </c>
      <c r="P646">
        <v>2830.3</v>
      </c>
      <c r="Q646">
        <v>2881.6</v>
      </c>
      <c r="R646">
        <v>2896.98</v>
      </c>
      <c r="S646">
        <v>2927.74</v>
      </c>
      <c r="T646">
        <v>2958.5</v>
      </c>
      <c r="U646">
        <v>3014.1</v>
      </c>
      <c r="V646">
        <v>3028</v>
      </c>
      <c r="W646">
        <v>3066.88</v>
      </c>
      <c r="X646">
        <v>3092.8</v>
      </c>
      <c r="Y646">
        <v>3117.44</v>
      </c>
      <c r="Z646">
        <v>3154.4</v>
      </c>
      <c r="AA646">
        <v>3166.32</v>
      </c>
      <c r="AB646">
        <v>3214</v>
      </c>
      <c r="AC646">
        <v>3272.3</v>
      </c>
      <c r="AD646">
        <v>3329.9</v>
      </c>
      <c r="AE646">
        <v>3387</v>
      </c>
      <c r="AF646">
        <v>3443.9</v>
      </c>
      <c r="AG646">
        <v>3500.7</v>
      </c>
      <c r="AH646">
        <v>3557.6</v>
      </c>
      <c r="AI646">
        <v>3614.7</v>
      </c>
      <c r="AJ646">
        <v>3671.9</v>
      </c>
      <c r="AK646">
        <v>3729.5</v>
      </c>
      <c r="AL646">
        <v>3787.1</v>
      </c>
    </row>
    <row r="647" spans="1:38" x14ac:dyDescent="0.3">
      <c r="A647">
        <v>4100</v>
      </c>
      <c r="B647">
        <v>251.8</v>
      </c>
      <c r="C647" t="s">
        <v>20</v>
      </c>
      <c r="D647">
        <v>2.8098999999999998</v>
      </c>
      <c r="E647">
        <v>6.0583</v>
      </c>
      <c r="F647" t="s">
        <v>21</v>
      </c>
      <c r="G647" t="s">
        <v>21</v>
      </c>
      <c r="H647" t="s">
        <v>21</v>
      </c>
      <c r="I647" t="s">
        <v>21</v>
      </c>
      <c r="J647" t="s">
        <v>21</v>
      </c>
      <c r="K647" t="s">
        <v>21</v>
      </c>
      <c r="L647" t="s">
        <v>21</v>
      </c>
      <c r="M647" t="s">
        <v>21</v>
      </c>
      <c r="N647" t="s">
        <v>21</v>
      </c>
      <c r="O647" t="s">
        <v>21</v>
      </c>
      <c r="P647">
        <v>6.1157000000000004</v>
      </c>
      <c r="Q647">
        <v>6.2107000000000001</v>
      </c>
      <c r="R647">
        <v>6.2381599999999997</v>
      </c>
      <c r="S647">
        <v>6.2930799999999998</v>
      </c>
      <c r="T647">
        <v>6.3479999999999999</v>
      </c>
      <c r="U647">
        <v>6.4429600000000002</v>
      </c>
      <c r="V647">
        <v>6.4667000000000003</v>
      </c>
      <c r="W647">
        <v>6.5303000000000004</v>
      </c>
      <c r="X647">
        <v>6.5727000000000002</v>
      </c>
      <c r="Y647">
        <v>6.6115000000000004</v>
      </c>
      <c r="Z647">
        <v>6.6696999999999997</v>
      </c>
      <c r="AA647">
        <v>6.6877599999999999</v>
      </c>
      <c r="AB647">
        <v>6.76</v>
      </c>
      <c r="AC647">
        <v>6.8449999999999998</v>
      </c>
      <c r="AD647">
        <v>6.9260000000000002</v>
      </c>
      <c r="AE647">
        <v>7.0037000000000003</v>
      </c>
      <c r="AF647">
        <v>7.0785</v>
      </c>
      <c r="AG647">
        <v>7.1508000000000003</v>
      </c>
      <c r="AH647">
        <v>7.2210000000000001</v>
      </c>
      <c r="AI647">
        <v>7.2892999999999999</v>
      </c>
      <c r="AJ647">
        <v>7.3558000000000003</v>
      </c>
      <c r="AK647">
        <v>7.42</v>
      </c>
      <c r="AL647">
        <v>7.4842000000000004</v>
      </c>
    </row>
    <row r="648" spans="1:38" x14ac:dyDescent="0.3">
      <c r="A648">
        <v>4200</v>
      </c>
      <c r="B648">
        <v>253.24</v>
      </c>
      <c r="C648" t="s">
        <v>0</v>
      </c>
      <c r="D648">
        <v>1.2589999999999999</v>
      </c>
      <c r="E648">
        <v>47.307000000000002</v>
      </c>
      <c r="F648" t="s">
        <v>21</v>
      </c>
      <c r="G648" t="s">
        <v>21</v>
      </c>
      <c r="H648" t="s">
        <v>21</v>
      </c>
      <c r="I648" t="s">
        <v>21</v>
      </c>
      <c r="J648" t="s">
        <v>21</v>
      </c>
      <c r="K648" t="s">
        <v>21</v>
      </c>
      <c r="L648" t="s">
        <v>21</v>
      </c>
      <c r="M648" t="s">
        <v>21</v>
      </c>
      <c r="N648" t="s">
        <v>21</v>
      </c>
      <c r="O648" t="s">
        <v>21</v>
      </c>
      <c r="P648">
        <v>48.654000000000003</v>
      </c>
      <c r="Q648">
        <v>51.438000000000002</v>
      </c>
      <c r="R648">
        <v>52.275400000000005</v>
      </c>
      <c r="S648">
        <v>53.950200000000002</v>
      </c>
      <c r="T648">
        <v>55.625</v>
      </c>
      <c r="U648">
        <v>58.673000000000002</v>
      </c>
      <c r="V648">
        <v>59.435000000000002</v>
      </c>
      <c r="W648">
        <v>61.572800000000001</v>
      </c>
      <c r="X648">
        <v>62.997999999999998</v>
      </c>
      <c r="Y648">
        <v>64.355599999999995</v>
      </c>
      <c r="Z648">
        <v>66.391999999999996</v>
      </c>
      <c r="AA648">
        <v>67.046999999999997</v>
      </c>
      <c r="AB648">
        <v>69.667000000000002</v>
      </c>
      <c r="AC648">
        <v>72.855999999999995</v>
      </c>
      <c r="AD648">
        <v>75.980999999999995</v>
      </c>
      <c r="AE648">
        <v>79.055999999999997</v>
      </c>
      <c r="AF648">
        <v>82.091999999999999</v>
      </c>
      <c r="AG648">
        <v>85.096999999999994</v>
      </c>
      <c r="AH648">
        <v>88.075000000000003</v>
      </c>
      <c r="AI648">
        <v>91.03</v>
      </c>
      <c r="AJ648">
        <v>93.965999999999994</v>
      </c>
      <c r="AK648">
        <v>96.876499999999993</v>
      </c>
      <c r="AL648">
        <v>99.787000000000006</v>
      </c>
    </row>
    <row r="649" spans="1:38" x14ac:dyDescent="0.3">
      <c r="A649">
        <v>4200</v>
      </c>
      <c r="B649">
        <v>253.24</v>
      </c>
      <c r="C649" t="s">
        <v>18</v>
      </c>
      <c r="D649">
        <v>1096.3</v>
      </c>
      <c r="E649">
        <v>2600.6999999999998</v>
      </c>
      <c r="F649" t="s">
        <v>21</v>
      </c>
      <c r="G649" t="s">
        <v>21</v>
      </c>
      <c r="H649" t="s">
        <v>21</v>
      </c>
      <c r="I649" t="s">
        <v>21</v>
      </c>
      <c r="J649" t="s">
        <v>21</v>
      </c>
      <c r="K649" t="s">
        <v>21</v>
      </c>
      <c r="L649" t="s">
        <v>21</v>
      </c>
      <c r="M649" t="s">
        <v>21</v>
      </c>
      <c r="N649" t="s">
        <v>21</v>
      </c>
      <c r="O649" t="s">
        <v>21</v>
      </c>
      <c r="P649">
        <v>2620.4</v>
      </c>
      <c r="Q649">
        <v>2661</v>
      </c>
      <c r="R649">
        <v>2673.08</v>
      </c>
      <c r="S649">
        <v>2697.24</v>
      </c>
      <c r="T649">
        <v>2721.4</v>
      </c>
      <c r="U649">
        <v>2764.7599999999998</v>
      </c>
      <c r="V649">
        <v>2775.6</v>
      </c>
      <c r="W649">
        <v>2805.7200000000003</v>
      </c>
      <c r="X649">
        <v>2825.8</v>
      </c>
      <c r="Y649">
        <v>2844.92</v>
      </c>
      <c r="Z649">
        <v>2873.6</v>
      </c>
      <c r="AA649">
        <v>2882.8199999999997</v>
      </c>
      <c r="AB649">
        <v>2919.7</v>
      </c>
      <c r="AC649">
        <v>2964.8</v>
      </c>
      <c r="AD649">
        <v>3009.4</v>
      </c>
      <c r="AE649">
        <v>3053.7</v>
      </c>
      <c r="AF649">
        <v>3097.9</v>
      </c>
      <c r="AG649">
        <v>3142.3</v>
      </c>
      <c r="AH649">
        <v>3186.8</v>
      </c>
      <c r="AI649">
        <v>3231.5</v>
      </c>
      <c r="AJ649">
        <v>3276.5</v>
      </c>
      <c r="AK649">
        <v>3321.9</v>
      </c>
      <c r="AL649">
        <v>3367.3</v>
      </c>
    </row>
    <row r="650" spans="1:38" x14ac:dyDescent="0.3">
      <c r="A650">
        <v>4200</v>
      </c>
      <c r="B650">
        <v>253.24</v>
      </c>
      <c r="C650" t="s">
        <v>19</v>
      </c>
      <c r="D650">
        <v>1101.5999999999999</v>
      </c>
      <c r="E650">
        <v>2799.4</v>
      </c>
      <c r="F650" t="s">
        <v>21</v>
      </c>
      <c r="G650" t="s">
        <v>21</v>
      </c>
      <c r="H650" t="s">
        <v>21</v>
      </c>
      <c r="I650" t="s">
        <v>21</v>
      </c>
      <c r="J650" t="s">
        <v>21</v>
      </c>
      <c r="K650" t="s">
        <v>21</v>
      </c>
      <c r="L650" t="s">
        <v>21</v>
      </c>
      <c r="M650" t="s">
        <v>21</v>
      </c>
      <c r="N650" t="s">
        <v>21</v>
      </c>
      <c r="O650" t="s">
        <v>21</v>
      </c>
      <c r="P650">
        <v>2824.8</v>
      </c>
      <c r="Q650">
        <v>2877.1</v>
      </c>
      <c r="R650">
        <v>2892.68</v>
      </c>
      <c r="S650">
        <v>2923.84</v>
      </c>
      <c r="T650">
        <v>2955</v>
      </c>
      <c r="U650">
        <v>3011.16</v>
      </c>
      <c r="V650">
        <v>3025.2</v>
      </c>
      <c r="W650">
        <v>3064.32</v>
      </c>
      <c r="X650">
        <v>3090.4</v>
      </c>
      <c r="Y650">
        <v>3115.2000000000003</v>
      </c>
      <c r="Z650">
        <v>3152.4</v>
      </c>
      <c r="AA650">
        <v>3164.38</v>
      </c>
      <c r="AB650">
        <v>3212.3</v>
      </c>
      <c r="AC650">
        <v>3270.8</v>
      </c>
      <c r="AD650">
        <v>3328.5</v>
      </c>
      <c r="AE650">
        <v>3385.7</v>
      </c>
      <c r="AF650">
        <v>3442.7</v>
      </c>
      <c r="AG650">
        <v>3499.7</v>
      </c>
      <c r="AH650">
        <v>3556.7</v>
      </c>
      <c r="AI650">
        <v>3613.8</v>
      </c>
      <c r="AJ650">
        <v>3671.1</v>
      </c>
      <c r="AK650">
        <v>3728.75</v>
      </c>
      <c r="AL650">
        <v>3786.4</v>
      </c>
    </row>
    <row r="651" spans="1:38" x14ac:dyDescent="0.3">
      <c r="A651">
        <v>4200</v>
      </c>
      <c r="B651">
        <v>253.24</v>
      </c>
      <c r="C651" t="s">
        <v>20</v>
      </c>
      <c r="D651">
        <v>2.8231000000000002</v>
      </c>
      <c r="E651">
        <v>6.0481999999999996</v>
      </c>
      <c r="F651" t="s">
        <v>21</v>
      </c>
      <c r="G651" t="s">
        <v>21</v>
      </c>
      <c r="H651" t="s">
        <v>21</v>
      </c>
      <c r="I651" t="s">
        <v>21</v>
      </c>
      <c r="J651" t="s">
        <v>21</v>
      </c>
      <c r="K651" t="s">
        <v>21</v>
      </c>
      <c r="L651" t="s">
        <v>21</v>
      </c>
      <c r="M651" t="s">
        <v>21</v>
      </c>
      <c r="N651" t="s">
        <v>21</v>
      </c>
      <c r="O651" t="s">
        <v>21</v>
      </c>
      <c r="P651">
        <v>6.0961999999999996</v>
      </c>
      <c r="Q651">
        <v>6.1928999999999998</v>
      </c>
      <c r="R651">
        <v>6.22072</v>
      </c>
      <c r="S651">
        <v>6.2763600000000004</v>
      </c>
      <c r="T651">
        <v>6.3319999999999999</v>
      </c>
      <c r="U651">
        <v>6.4279200000000003</v>
      </c>
      <c r="V651">
        <v>6.4519000000000002</v>
      </c>
      <c r="W651">
        <v>6.5159799999999999</v>
      </c>
      <c r="X651">
        <v>6.5587</v>
      </c>
      <c r="Y651">
        <v>6.5977399999999999</v>
      </c>
      <c r="Z651">
        <v>6.6562999999999999</v>
      </c>
      <c r="AA651">
        <v>6.6744199999999996</v>
      </c>
      <c r="AB651">
        <v>6.7469000000000001</v>
      </c>
      <c r="AC651">
        <v>6.8323</v>
      </c>
      <c r="AD651">
        <v>6.9135</v>
      </c>
      <c r="AE651">
        <v>6.9912999999999998</v>
      </c>
      <c r="AF651">
        <v>7.0662000000000003</v>
      </c>
      <c r="AG651">
        <v>7.1387</v>
      </c>
      <c r="AH651">
        <v>7.2089999999999996</v>
      </c>
      <c r="AI651">
        <v>7.2774000000000001</v>
      </c>
      <c r="AJ651">
        <v>7.3440000000000003</v>
      </c>
      <c r="AK651">
        <v>7.4082000000000008</v>
      </c>
      <c r="AL651">
        <v>7.4724000000000004</v>
      </c>
    </row>
    <row r="652" spans="1:38" x14ac:dyDescent="0.3">
      <c r="A652">
        <v>4300</v>
      </c>
      <c r="B652">
        <v>254.66</v>
      </c>
      <c r="C652" t="s">
        <v>0</v>
      </c>
      <c r="D652">
        <v>1.262</v>
      </c>
      <c r="E652">
        <v>46.167999999999999</v>
      </c>
      <c r="F652" t="s">
        <v>21</v>
      </c>
      <c r="G652" t="s">
        <v>21</v>
      </c>
      <c r="H652" t="s">
        <v>21</v>
      </c>
      <c r="I652" t="s">
        <v>21</v>
      </c>
      <c r="J652" t="s">
        <v>21</v>
      </c>
      <c r="K652" t="s">
        <v>21</v>
      </c>
      <c r="L652" t="s">
        <v>21</v>
      </c>
      <c r="M652" t="s">
        <v>21</v>
      </c>
      <c r="N652" t="s">
        <v>21</v>
      </c>
      <c r="O652" t="s">
        <v>21</v>
      </c>
      <c r="P652">
        <v>47.222999999999999</v>
      </c>
      <c r="Q652">
        <v>49.988</v>
      </c>
      <c r="R652">
        <v>50.816400000000002</v>
      </c>
      <c r="S652">
        <v>52.473200000000006</v>
      </c>
      <c r="T652">
        <v>54.13</v>
      </c>
      <c r="U652">
        <v>57.135600000000004</v>
      </c>
      <c r="V652">
        <v>57.887</v>
      </c>
      <c r="W652">
        <v>59.990600000000001</v>
      </c>
      <c r="X652">
        <v>61.393000000000001</v>
      </c>
      <c r="Y652">
        <v>62.726999999999997</v>
      </c>
      <c r="Z652">
        <v>64.727999999999994</v>
      </c>
      <c r="AA652">
        <v>65.370799999999988</v>
      </c>
      <c r="AB652">
        <v>67.941999999999993</v>
      </c>
      <c r="AC652">
        <v>71.069000000000003</v>
      </c>
      <c r="AD652">
        <v>74.131</v>
      </c>
      <c r="AE652">
        <v>77.143000000000001</v>
      </c>
      <c r="AF652">
        <v>80.116</v>
      </c>
      <c r="AG652">
        <v>83.057000000000002</v>
      </c>
      <c r="AH652">
        <v>85.971000000000004</v>
      </c>
      <c r="AI652">
        <v>88.863</v>
      </c>
      <c r="AJ652">
        <v>91.734999999999999</v>
      </c>
      <c r="AK652">
        <v>94.581500000000005</v>
      </c>
      <c r="AL652">
        <v>97.427999999999997</v>
      </c>
    </row>
    <row r="653" spans="1:38" x14ac:dyDescent="0.3">
      <c r="A653">
        <v>4300</v>
      </c>
      <c r="B653">
        <v>254.66</v>
      </c>
      <c r="C653" t="s">
        <v>18</v>
      </c>
      <c r="D653">
        <v>1103.0999999999999</v>
      </c>
      <c r="E653">
        <v>2600.3000000000002</v>
      </c>
      <c r="F653" t="s">
        <v>21</v>
      </c>
      <c r="G653" t="s">
        <v>21</v>
      </c>
      <c r="H653" t="s">
        <v>21</v>
      </c>
      <c r="I653" t="s">
        <v>21</v>
      </c>
      <c r="J653" t="s">
        <v>21</v>
      </c>
      <c r="K653" t="s">
        <v>21</v>
      </c>
      <c r="L653" t="s">
        <v>21</v>
      </c>
      <c r="M653" t="s">
        <v>21</v>
      </c>
      <c r="N653" t="s">
        <v>21</v>
      </c>
      <c r="O653" t="s">
        <v>21</v>
      </c>
      <c r="P653">
        <v>2616.1999999999998</v>
      </c>
      <c r="Q653">
        <v>2657.5</v>
      </c>
      <c r="R653">
        <v>2669.74</v>
      </c>
      <c r="S653">
        <v>2694.22</v>
      </c>
      <c r="T653">
        <v>2718.7</v>
      </c>
      <c r="U653">
        <v>2762.46</v>
      </c>
      <c r="V653">
        <v>2773.4</v>
      </c>
      <c r="W653">
        <v>2803.82</v>
      </c>
      <c r="X653">
        <v>2824.1</v>
      </c>
      <c r="Y653">
        <v>2843.2999999999997</v>
      </c>
      <c r="Z653">
        <v>2872.1</v>
      </c>
      <c r="AA653">
        <v>2881.36</v>
      </c>
      <c r="AB653">
        <v>2918.4</v>
      </c>
      <c r="AC653">
        <v>2963.7</v>
      </c>
      <c r="AD653">
        <v>3008.4</v>
      </c>
      <c r="AE653">
        <v>3052.8</v>
      </c>
      <c r="AF653">
        <v>3097.1</v>
      </c>
      <c r="AG653">
        <v>3141.5</v>
      </c>
      <c r="AH653">
        <v>3186</v>
      </c>
      <c r="AI653">
        <v>3230.8</v>
      </c>
      <c r="AJ653">
        <v>3275.8</v>
      </c>
      <c r="AK653">
        <v>3321.3</v>
      </c>
      <c r="AL653">
        <v>3366.8</v>
      </c>
    </row>
    <row r="654" spans="1:38" x14ac:dyDescent="0.3">
      <c r="A654">
        <v>4300</v>
      </c>
      <c r="B654">
        <v>254.66</v>
      </c>
      <c r="C654" t="s">
        <v>19</v>
      </c>
      <c r="D654">
        <v>1108.5</v>
      </c>
      <c r="E654">
        <v>2798.9</v>
      </c>
      <c r="F654" t="s">
        <v>21</v>
      </c>
      <c r="G654" t="s">
        <v>21</v>
      </c>
      <c r="H654" t="s">
        <v>21</v>
      </c>
      <c r="I654" t="s">
        <v>21</v>
      </c>
      <c r="J654" t="s">
        <v>21</v>
      </c>
      <c r="K654" t="s">
        <v>21</v>
      </c>
      <c r="L654" t="s">
        <v>21</v>
      </c>
      <c r="M654" t="s">
        <v>21</v>
      </c>
      <c r="N654" t="s">
        <v>21</v>
      </c>
      <c r="O654" t="s">
        <v>21</v>
      </c>
      <c r="P654">
        <v>2819.2</v>
      </c>
      <c r="Q654">
        <v>2872.4</v>
      </c>
      <c r="R654">
        <v>2888.2000000000003</v>
      </c>
      <c r="S654">
        <v>2919.8</v>
      </c>
      <c r="T654">
        <v>2951.4</v>
      </c>
      <c r="U654">
        <v>3008.1200000000003</v>
      </c>
      <c r="V654">
        <v>3022.3</v>
      </c>
      <c r="W654">
        <v>3061.78</v>
      </c>
      <c r="X654">
        <v>3088.1</v>
      </c>
      <c r="Y654">
        <v>3113.02</v>
      </c>
      <c r="Z654">
        <v>3150.4</v>
      </c>
      <c r="AA654">
        <v>3162.42</v>
      </c>
      <c r="AB654">
        <v>3210.5</v>
      </c>
      <c r="AC654">
        <v>3269.3</v>
      </c>
      <c r="AD654">
        <v>3327.1</v>
      </c>
      <c r="AE654">
        <v>3384.5</v>
      </c>
      <c r="AF654">
        <v>3441.6</v>
      </c>
      <c r="AG654">
        <v>3498.6</v>
      </c>
      <c r="AH654">
        <v>3555.7</v>
      </c>
      <c r="AI654">
        <v>3612.9</v>
      </c>
      <c r="AJ654">
        <v>3670.3</v>
      </c>
      <c r="AK654">
        <v>3728</v>
      </c>
      <c r="AL654">
        <v>3785.7</v>
      </c>
    </row>
    <row r="655" spans="1:38" x14ac:dyDescent="0.3">
      <c r="A655">
        <v>4300</v>
      </c>
      <c r="B655">
        <v>254.66</v>
      </c>
      <c r="C655" t="s">
        <v>20</v>
      </c>
      <c r="D655">
        <v>2.8359999999999999</v>
      </c>
      <c r="E655">
        <v>6.0382999999999996</v>
      </c>
      <c r="F655" t="s">
        <v>21</v>
      </c>
      <c r="G655" t="s">
        <v>21</v>
      </c>
      <c r="H655" t="s">
        <v>21</v>
      </c>
      <c r="I655" t="s">
        <v>21</v>
      </c>
      <c r="J655" t="s">
        <v>21</v>
      </c>
      <c r="K655" t="s">
        <v>21</v>
      </c>
      <c r="L655" t="s">
        <v>21</v>
      </c>
      <c r="M655" t="s">
        <v>21</v>
      </c>
      <c r="N655" t="s">
        <v>21</v>
      </c>
      <c r="O655" t="s">
        <v>21</v>
      </c>
      <c r="P655">
        <v>6.0768000000000004</v>
      </c>
      <c r="Q655">
        <v>6.1752000000000002</v>
      </c>
      <c r="R655">
        <v>6.2034000000000002</v>
      </c>
      <c r="S655">
        <v>6.2598000000000003</v>
      </c>
      <c r="T655">
        <v>6.3162000000000003</v>
      </c>
      <c r="U655">
        <v>6.4130799999999999</v>
      </c>
      <c r="V655">
        <v>6.4372999999999996</v>
      </c>
      <c r="W655">
        <v>6.5019200000000001</v>
      </c>
      <c r="X655">
        <v>6.5449999999999999</v>
      </c>
      <c r="Y655">
        <v>6.5842399999999994</v>
      </c>
      <c r="Z655">
        <v>6.6430999999999996</v>
      </c>
      <c r="AA655">
        <v>6.6612999999999998</v>
      </c>
      <c r="AB655">
        <v>6.7340999999999998</v>
      </c>
      <c r="AC655">
        <v>6.8197999999999999</v>
      </c>
      <c r="AD655">
        <v>6.9012000000000002</v>
      </c>
      <c r="AE655">
        <v>6.9791999999999996</v>
      </c>
      <c r="AF655">
        <v>7.0542999999999996</v>
      </c>
      <c r="AG655">
        <v>7.1269</v>
      </c>
      <c r="AH655">
        <v>7.1973000000000003</v>
      </c>
      <c r="AI655">
        <v>7.2657999999999996</v>
      </c>
      <c r="AJ655">
        <v>7.3323999999999998</v>
      </c>
      <c r="AK655">
        <v>7.3967000000000001</v>
      </c>
      <c r="AL655">
        <v>7.4610000000000003</v>
      </c>
    </row>
    <row r="656" spans="1:38" x14ac:dyDescent="0.3">
      <c r="A656">
        <v>4400</v>
      </c>
      <c r="B656">
        <v>256.05</v>
      </c>
      <c r="C656" t="s">
        <v>0</v>
      </c>
      <c r="D656">
        <v>1.266</v>
      </c>
      <c r="E656">
        <v>45.079000000000001</v>
      </c>
      <c r="F656" t="s">
        <v>21</v>
      </c>
      <c r="G656" t="s">
        <v>21</v>
      </c>
      <c r="H656" t="s">
        <v>21</v>
      </c>
      <c r="I656" t="s">
        <v>21</v>
      </c>
      <c r="J656" t="s">
        <v>21</v>
      </c>
      <c r="K656" t="s">
        <v>21</v>
      </c>
      <c r="L656" t="s">
        <v>21</v>
      </c>
      <c r="M656" t="s">
        <v>21</v>
      </c>
      <c r="N656" t="s">
        <v>21</v>
      </c>
      <c r="O656" t="s">
        <v>21</v>
      </c>
      <c r="P656">
        <v>45.853000000000002</v>
      </c>
      <c r="Q656">
        <v>48.600999999999999</v>
      </c>
      <c r="R656">
        <v>49.421199999999999</v>
      </c>
      <c r="S656">
        <v>51.061599999999999</v>
      </c>
      <c r="T656">
        <v>52.701999999999998</v>
      </c>
      <c r="U656">
        <v>55.6676</v>
      </c>
      <c r="V656">
        <v>56.408999999999999</v>
      </c>
      <c r="W656">
        <v>58.480199999999996</v>
      </c>
      <c r="X656">
        <v>59.860999999999997</v>
      </c>
      <c r="Y656">
        <v>61.172199999999997</v>
      </c>
      <c r="Z656">
        <v>63.139000000000003</v>
      </c>
      <c r="AA656">
        <v>63.770200000000003</v>
      </c>
      <c r="AB656">
        <v>66.295000000000002</v>
      </c>
      <c r="AC656">
        <v>69.363</v>
      </c>
      <c r="AD656">
        <v>72.364999999999995</v>
      </c>
      <c r="AE656">
        <v>75.316999999999993</v>
      </c>
      <c r="AF656">
        <v>78.228999999999999</v>
      </c>
      <c r="AG656">
        <v>81.11</v>
      </c>
      <c r="AH656">
        <v>83.962999999999994</v>
      </c>
      <c r="AI656">
        <v>86.793999999999997</v>
      </c>
      <c r="AJ656">
        <v>89.605000000000004</v>
      </c>
      <c r="AK656">
        <v>92.391000000000005</v>
      </c>
      <c r="AL656">
        <v>95.177000000000007</v>
      </c>
    </row>
    <row r="657" spans="1:38" x14ac:dyDescent="0.3">
      <c r="A657">
        <v>4400</v>
      </c>
      <c r="B657">
        <v>256.05</v>
      </c>
      <c r="C657" t="s">
        <v>18</v>
      </c>
      <c r="D657">
        <v>1109.8</v>
      </c>
      <c r="E657">
        <v>2599.9</v>
      </c>
      <c r="F657" t="s">
        <v>21</v>
      </c>
      <c r="G657" t="s">
        <v>21</v>
      </c>
      <c r="H657" t="s">
        <v>21</v>
      </c>
      <c r="I657" t="s">
        <v>21</v>
      </c>
      <c r="J657" t="s">
        <v>21</v>
      </c>
      <c r="K657" t="s">
        <v>21</v>
      </c>
      <c r="L657" t="s">
        <v>21</v>
      </c>
      <c r="M657" t="s">
        <v>21</v>
      </c>
      <c r="N657" t="s">
        <v>21</v>
      </c>
      <c r="O657" t="s">
        <v>21</v>
      </c>
      <c r="P657">
        <v>2611.8000000000002</v>
      </c>
      <c r="Q657">
        <v>2653.9</v>
      </c>
      <c r="R657">
        <v>2666.32</v>
      </c>
      <c r="S657">
        <v>2691.16</v>
      </c>
      <c r="T657">
        <v>2716</v>
      </c>
      <c r="U657">
        <v>2760.2400000000002</v>
      </c>
      <c r="V657">
        <v>2771.3</v>
      </c>
      <c r="W657">
        <v>2801.9</v>
      </c>
      <c r="X657">
        <v>2822.3</v>
      </c>
      <c r="Y657">
        <v>2841.62</v>
      </c>
      <c r="Z657">
        <v>2870.6</v>
      </c>
      <c r="AA657">
        <v>2879.9</v>
      </c>
      <c r="AB657">
        <v>2917.1</v>
      </c>
      <c r="AC657">
        <v>2962.5</v>
      </c>
      <c r="AD657">
        <v>3007.4</v>
      </c>
      <c r="AE657">
        <v>3051.9</v>
      </c>
      <c r="AF657">
        <v>3096.3</v>
      </c>
      <c r="AG657">
        <v>3140.7</v>
      </c>
      <c r="AH657">
        <v>3185.3</v>
      </c>
      <c r="AI657">
        <v>3230.1</v>
      </c>
      <c r="AJ657">
        <v>3275.2</v>
      </c>
      <c r="AK657">
        <v>3320.7</v>
      </c>
      <c r="AL657">
        <v>3366.2</v>
      </c>
    </row>
    <row r="658" spans="1:38" x14ac:dyDescent="0.3">
      <c r="A658">
        <v>4400</v>
      </c>
      <c r="B658">
        <v>256.05</v>
      </c>
      <c r="C658" t="s">
        <v>19</v>
      </c>
      <c r="D658">
        <v>1115.4000000000001</v>
      </c>
      <c r="E658">
        <v>2798.3</v>
      </c>
      <c r="F658" t="s">
        <v>21</v>
      </c>
      <c r="G658" t="s">
        <v>21</v>
      </c>
      <c r="H658" t="s">
        <v>21</v>
      </c>
      <c r="I658" t="s">
        <v>21</v>
      </c>
      <c r="J658" t="s">
        <v>21</v>
      </c>
      <c r="K658" t="s">
        <v>21</v>
      </c>
      <c r="L658" t="s">
        <v>21</v>
      </c>
      <c r="M658" t="s">
        <v>21</v>
      </c>
      <c r="N658" t="s">
        <v>21</v>
      </c>
      <c r="O658" t="s">
        <v>21</v>
      </c>
      <c r="P658">
        <v>2813.6</v>
      </c>
      <c r="Q658">
        <v>2867.8</v>
      </c>
      <c r="R658">
        <v>2883.8</v>
      </c>
      <c r="S658">
        <v>2915.8</v>
      </c>
      <c r="T658">
        <v>2947.8</v>
      </c>
      <c r="U658">
        <v>3005.16</v>
      </c>
      <c r="V658">
        <v>3019.5</v>
      </c>
      <c r="W658">
        <v>3059.22</v>
      </c>
      <c r="X658">
        <v>3085.7</v>
      </c>
      <c r="Y658">
        <v>3110.7799999999997</v>
      </c>
      <c r="Z658">
        <v>3148.4</v>
      </c>
      <c r="AA658">
        <v>3160.48</v>
      </c>
      <c r="AB658">
        <v>3208.8</v>
      </c>
      <c r="AC658">
        <v>3267.7</v>
      </c>
      <c r="AD658">
        <v>3325.8</v>
      </c>
      <c r="AE658">
        <v>3383.3</v>
      </c>
      <c r="AF658">
        <v>3440.5</v>
      </c>
      <c r="AG658">
        <v>3497.6</v>
      </c>
      <c r="AH658">
        <v>3554.7</v>
      </c>
      <c r="AI658">
        <v>3612</v>
      </c>
      <c r="AJ658">
        <v>3669.5</v>
      </c>
      <c r="AK658">
        <v>3727.25</v>
      </c>
      <c r="AL658">
        <v>3785</v>
      </c>
    </row>
    <row r="659" spans="1:38" x14ac:dyDescent="0.3">
      <c r="A659">
        <v>4400</v>
      </c>
      <c r="B659">
        <v>256.05</v>
      </c>
      <c r="C659" t="s">
        <v>20</v>
      </c>
      <c r="D659">
        <v>2.8487</v>
      </c>
      <c r="E659">
        <v>6.0286</v>
      </c>
      <c r="F659" t="s">
        <v>21</v>
      </c>
      <c r="G659" t="s">
        <v>21</v>
      </c>
      <c r="H659" t="s">
        <v>21</v>
      </c>
      <c r="I659" t="s">
        <v>21</v>
      </c>
      <c r="J659" t="s">
        <v>21</v>
      </c>
      <c r="K659" t="s">
        <v>21</v>
      </c>
      <c r="L659" t="s">
        <v>21</v>
      </c>
      <c r="M659" t="s">
        <v>21</v>
      </c>
      <c r="N659" t="s">
        <v>21</v>
      </c>
      <c r="O659" t="s">
        <v>21</v>
      </c>
      <c r="P659">
        <v>6.0575000000000001</v>
      </c>
      <c r="Q659">
        <v>6.1577000000000002</v>
      </c>
      <c r="R659">
        <v>6.18628</v>
      </c>
      <c r="S659">
        <v>6.2434399999999997</v>
      </c>
      <c r="T659">
        <v>6.3006000000000002</v>
      </c>
      <c r="U659">
        <v>6.3985200000000004</v>
      </c>
      <c r="V659">
        <v>6.423</v>
      </c>
      <c r="W659">
        <v>6.4881000000000002</v>
      </c>
      <c r="X659">
        <v>6.5315000000000003</v>
      </c>
      <c r="Y659">
        <v>6.5709400000000002</v>
      </c>
      <c r="Z659">
        <v>6.6300999999999997</v>
      </c>
      <c r="AA659">
        <v>6.6483999999999996</v>
      </c>
      <c r="AB659">
        <v>6.7215999999999996</v>
      </c>
      <c r="AC659">
        <v>6.8075999999999999</v>
      </c>
      <c r="AD659">
        <v>6.8891999999999998</v>
      </c>
      <c r="AE659">
        <v>6.9673999999999996</v>
      </c>
      <c r="AF659">
        <v>7.0426000000000002</v>
      </c>
      <c r="AG659">
        <v>7.1153000000000004</v>
      </c>
      <c r="AH659">
        <v>7.1858000000000004</v>
      </c>
      <c r="AI659">
        <v>7.2544000000000004</v>
      </c>
      <c r="AJ659">
        <v>7.3211000000000004</v>
      </c>
      <c r="AK659">
        <v>7.3854500000000005</v>
      </c>
      <c r="AL659">
        <v>7.4497999999999998</v>
      </c>
    </row>
    <row r="660" spans="1:38" x14ac:dyDescent="0.3">
      <c r="A660">
        <v>4500</v>
      </c>
      <c r="B660">
        <v>257.41000000000003</v>
      </c>
      <c r="C660" t="s">
        <v>0</v>
      </c>
      <c r="D660">
        <v>1.2689999999999999</v>
      </c>
      <c r="E660">
        <v>44.036999999999999</v>
      </c>
      <c r="F660" t="s">
        <v>21</v>
      </c>
      <c r="G660" t="s">
        <v>21</v>
      </c>
      <c r="H660" t="s">
        <v>21</v>
      </c>
      <c r="I660" t="s">
        <v>21</v>
      </c>
      <c r="J660" t="s">
        <v>21</v>
      </c>
      <c r="K660" t="s">
        <v>21</v>
      </c>
      <c r="L660" t="s">
        <v>21</v>
      </c>
      <c r="M660" t="s">
        <v>21</v>
      </c>
      <c r="N660" t="s">
        <v>21</v>
      </c>
      <c r="O660" t="s">
        <v>21</v>
      </c>
      <c r="P660">
        <v>44.54</v>
      </c>
      <c r="Q660">
        <v>47.273000000000003</v>
      </c>
      <c r="R660">
        <v>48.085599999999999</v>
      </c>
      <c r="S660">
        <v>49.710799999999999</v>
      </c>
      <c r="T660">
        <v>51.335999999999999</v>
      </c>
      <c r="U660">
        <v>54.264000000000003</v>
      </c>
      <c r="V660">
        <v>54.996000000000002</v>
      </c>
      <c r="W660">
        <v>57.036000000000001</v>
      </c>
      <c r="X660">
        <v>58.396000000000001</v>
      </c>
      <c r="Y660">
        <v>59.685600000000001</v>
      </c>
      <c r="Z660">
        <v>61.62</v>
      </c>
      <c r="AA660">
        <v>62.240200000000002</v>
      </c>
      <c r="AB660">
        <v>64.721000000000004</v>
      </c>
      <c r="AC660">
        <v>67.731999999999999</v>
      </c>
      <c r="AD660">
        <v>70.677000000000007</v>
      </c>
      <c r="AE660">
        <v>73.572000000000003</v>
      </c>
      <c r="AF660">
        <v>76.427000000000007</v>
      </c>
      <c r="AG660">
        <v>79.248999999999995</v>
      </c>
      <c r="AH660">
        <v>82.043999999999997</v>
      </c>
      <c r="AI660">
        <v>84.816999999999993</v>
      </c>
      <c r="AJ660">
        <v>87.57</v>
      </c>
      <c r="AK660">
        <v>90.297499999999999</v>
      </c>
      <c r="AL660">
        <v>93.025000000000006</v>
      </c>
    </row>
    <row r="661" spans="1:38" x14ac:dyDescent="0.3">
      <c r="A661">
        <v>4500</v>
      </c>
      <c r="B661">
        <v>257.41000000000003</v>
      </c>
      <c r="C661" t="s">
        <v>18</v>
      </c>
      <c r="D661">
        <v>1116.4000000000001</v>
      </c>
      <c r="E661">
        <v>2599.5</v>
      </c>
      <c r="F661" t="s">
        <v>21</v>
      </c>
      <c r="G661" t="s">
        <v>21</v>
      </c>
      <c r="H661" t="s">
        <v>21</v>
      </c>
      <c r="I661" t="s">
        <v>21</v>
      </c>
      <c r="J661" t="s">
        <v>21</v>
      </c>
      <c r="K661" t="s">
        <v>21</v>
      </c>
      <c r="L661" t="s">
        <v>21</v>
      </c>
      <c r="M661" t="s">
        <v>21</v>
      </c>
      <c r="N661" t="s">
        <v>21</v>
      </c>
      <c r="O661" t="s">
        <v>21</v>
      </c>
      <c r="P661">
        <v>2607.4</v>
      </c>
      <c r="Q661">
        <v>2650.3</v>
      </c>
      <c r="R661">
        <v>2662.88</v>
      </c>
      <c r="S661">
        <v>2688.04</v>
      </c>
      <c r="T661">
        <v>2713.2</v>
      </c>
      <c r="U661">
        <v>2757.92</v>
      </c>
      <c r="V661">
        <v>2769.1</v>
      </c>
      <c r="W661">
        <v>2799.94</v>
      </c>
      <c r="X661">
        <v>2820.5</v>
      </c>
      <c r="Y661">
        <v>2839.94</v>
      </c>
      <c r="Z661">
        <v>2869.1</v>
      </c>
      <c r="AA661">
        <v>2878.44</v>
      </c>
      <c r="AB661">
        <v>2915.8</v>
      </c>
      <c r="AC661">
        <v>2961.4</v>
      </c>
      <c r="AD661">
        <v>3006.3</v>
      </c>
      <c r="AE661">
        <v>3050.9</v>
      </c>
      <c r="AF661">
        <v>3095.4</v>
      </c>
      <c r="AG661">
        <v>3139.9</v>
      </c>
      <c r="AH661">
        <v>3184.6</v>
      </c>
      <c r="AI661">
        <v>3229.5</v>
      </c>
      <c r="AJ661">
        <v>3274.6</v>
      </c>
      <c r="AK661">
        <v>3320.1499999999996</v>
      </c>
      <c r="AL661">
        <v>3365.7</v>
      </c>
    </row>
    <row r="662" spans="1:38" x14ac:dyDescent="0.3">
      <c r="A662">
        <v>4500</v>
      </c>
      <c r="B662">
        <v>257.41000000000003</v>
      </c>
      <c r="C662" t="s">
        <v>19</v>
      </c>
      <c r="D662">
        <v>1122.0999999999999</v>
      </c>
      <c r="E662">
        <v>2797.7</v>
      </c>
      <c r="F662" t="s">
        <v>21</v>
      </c>
      <c r="G662" t="s">
        <v>21</v>
      </c>
      <c r="H662" t="s">
        <v>21</v>
      </c>
      <c r="I662" t="s">
        <v>21</v>
      </c>
      <c r="J662" t="s">
        <v>21</v>
      </c>
      <c r="K662" t="s">
        <v>21</v>
      </c>
      <c r="L662" t="s">
        <v>21</v>
      </c>
      <c r="M662" t="s">
        <v>21</v>
      </c>
      <c r="N662" t="s">
        <v>21</v>
      </c>
      <c r="O662" t="s">
        <v>21</v>
      </c>
      <c r="P662">
        <v>2807.9</v>
      </c>
      <c r="Q662">
        <v>2863</v>
      </c>
      <c r="R662">
        <v>2879.24</v>
      </c>
      <c r="S662">
        <v>2911.72</v>
      </c>
      <c r="T662">
        <v>2944.2</v>
      </c>
      <c r="U662">
        <v>3002.12</v>
      </c>
      <c r="V662">
        <v>3016.6</v>
      </c>
      <c r="W662">
        <v>3056.62</v>
      </c>
      <c r="X662">
        <v>3083.3</v>
      </c>
      <c r="Y662">
        <v>3108.54</v>
      </c>
      <c r="Z662">
        <v>3146.4</v>
      </c>
      <c r="AA662">
        <v>3158.54</v>
      </c>
      <c r="AB662">
        <v>3207.1</v>
      </c>
      <c r="AC662">
        <v>3266.2</v>
      </c>
      <c r="AD662">
        <v>3324.4</v>
      </c>
      <c r="AE662">
        <v>3382</v>
      </c>
      <c r="AF662">
        <v>3439.3</v>
      </c>
      <c r="AG662">
        <v>3496.6</v>
      </c>
      <c r="AH662">
        <v>3553.8</v>
      </c>
      <c r="AI662">
        <v>3611.1</v>
      </c>
      <c r="AJ662">
        <v>3668.6</v>
      </c>
      <c r="AK662">
        <v>3726.45</v>
      </c>
      <c r="AL662">
        <v>3784.3</v>
      </c>
    </row>
    <row r="663" spans="1:38" x14ac:dyDescent="0.3">
      <c r="A663">
        <v>4500</v>
      </c>
      <c r="B663">
        <v>257.41000000000003</v>
      </c>
      <c r="C663" t="s">
        <v>20</v>
      </c>
      <c r="D663">
        <v>2.8612000000000002</v>
      </c>
      <c r="E663">
        <v>6.0190999999999999</v>
      </c>
      <c r="F663" t="s">
        <v>21</v>
      </c>
      <c r="G663" t="s">
        <v>21</v>
      </c>
      <c r="H663" t="s">
        <v>21</v>
      </c>
      <c r="I663" t="s">
        <v>21</v>
      </c>
      <c r="J663" t="s">
        <v>21</v>
      </c>
      <c r="K663" t="s">
        <v>21</v>
      </c>
      <c r="L663" t="s">
        <v>21</v>
      </c>
      <c r="M663" t="s">
        <v>21</v>
      </c>
      <c r="N663" t="s">
        <v>21</v>
      </c>
      <c r="O663" t="s">
        <v>21</v>
      </c>
      <c r="P663">
        <v>6.0381999999999998</v>
      </c>
      <c r="Q663">
        <v>6.1402999999999999</v>
      </c>
      <c r="R663">
        <v>6.1692799999999997</v>
      </c>
      <c r="S663">
        <v>6.2272400000000001</v>
      </c>
      <c r="T663">
        <v>6.2851999999999997</v>
      </c>
      <c r="U663">
        <v>6.38408</v>
      </c>
      <c r="V663">
        <v>6.4088000000000003</v>
      </c>
      <c r="W663">
        <v>6.4744400000000004</v>
      </c>
      <c r="X663">
        <v>6.5182000000000002</v>
      </c>
      <c r="Y663">
        <v>6.5578799999999999</v>
      </c>
      <c r="Z663">
        <v>6.6173999999999999</v>
      </c>
      <c r="AA663">
        <v>6.6357799999999996</v>
      </c>
      <c r="AB663">
        <v>6.7092999999999998</v>
      </c>
      <c r="AC663">
        <v>6.7954999999999997</v>
      </c>
      <c r="AD663">
        <v>6.8773999999999997</v>
      </c>
      <c r="AE663">
        <v>6.9558</v>
      </c>
      <c r="AF663">
        <v>7.0311000000000003</v>
      </c>
      <c r="AG663">
        <v>7.1040000000000001</v>
      </c>
      <c r="AH663">
        <v>7.1745999999999999</v>
      </c>
      <c r="AI663">
        <v>7.2431999999999999</v>
      </c>
      <c r="AJ663">
        <v>7.31</v>
      </c>
      <c r="AK663">
        <v>7.3743999999999996</v>
      </c>
      <c r="AL663">
        <v>7.4387999999999996</v>
      </c>
    </row>
    <row r="664" spans="1:38" x14ac:dyDescent="0.3">
      <c r="A664">
        <v>4600</v>
      </c>
      <c r="B664">
        <v>258.75</v>
      </c>
      <c r="C664" t="s">
        <v>0</v>
      </c>
      <c r="D664">
        <v>1.272</v>
      </c>
      <c r="E664">
        <v>43.037999999999997</v>
      </c>
      <c r="F664" t="s">
        <v>21</v>
      </c>
      <c r="G664" t="s">
        <v>21</v>
      </c>
      <c r="H664" t="s">
        <v>21</v>
      </c>
      <c r="I664" t="s">
        <v>21</v>
      </c>
      <c r="J664" t="s">
        <v>21</v>
      </c>
      <c r="K664" t="s">
        <v>21</v>
      </c>
      <c r="L664" t="s">
        <v>21</v>
      </c>
      <c r="M664" t="s">
        <v>21</v>
      </c>
      <c r="N664" t="s">
        <v>21</v>
      </c>
      <c r="O664" t="s">
        <v>21</v>
      </c>
      <c r="P664">
        <v>43.277999999999999</v>
      </c>
      <c r="Q664">
        <v>46</v>
      </c>
      <c r="R664">
        <v>46.805399999999999</v>
      </c>
      <c r="S664">
        <v>48.416200000000003</v>
      </c>
      <c r="T664">
        <v>50.027000000000001</v>
      </c>
      <c r="U664">
        <v>52.919800000000002</v>
      </c>
      <c r="V664">
        <v>53.643000000000001</v>
      </c>
      <c r="W664">
        <v>55.653599999999997</v>
      </c>
      <c r="X664">
        <v>56.994</v>
      </c>
      <c r="Y664">
        <v>58.263199999999998</v>
      </c>
      <c r="Z664">
        <v>60.167000000000002</v>
      </c>
      <c r="AA664">
        <v>60.776600000000002</v>
      </c>
      <c r="AB664">
        <v>63.215000000000003</v>
      </c>
      <c r="AC664">
        <v>66.171999999999997</v>
      </c>
      <c r="AD664">
        <v>69.063000000000002</v>
      </c>
      <c r="AE664">
        <v>71.903000000000006</v>
      </c>
      <c r="AF664">
        <v>74.701999999999998</v>
      </c>
      <c r="AG664">
        <v>77.468999999999994</v>
      </c>
      <c r="AH664">
        <v>80.209000000000003</v>
      </c>
      <c r="AI664">
        <v>82.926000000000002</v>
      </c>
      <c r="AJ664">
        <v>85.623000000000005</v>
      </c>
      <c r="AK664">
        <v>88.295000000000002</v>
      </c>
      <c r="AL664">
        <v>90.966999999999999</v>
      </c>
    </row>
    <row r="665" spans="1:38" x14ac:dyDescent="0.3">
      <c r="A665">
        <v>4600</v>
      </c>
      <c r="B665">
        <v>258.75</v>
      </c>
      <c r="C665" t="s">
        <v>18</v>
      </c>
      <c r="D665">
        <v>1122.9000000000001</v>
      </c>
      <c r="E665">
        <v>2599.1</v>
      </c>
      <c r="F665" t="s">
        <v>21</v>
      </c>
      <c r="G665" t="s">
        <v>21</v>
      </c>
      <c r="H665" t="s">
        <v>21</v>
      </c>
      <c r="I665" t="s">
        <v>21</v>
      </c>
      <c r="J665" t="s">
        <v>21</v>
      </c>
      <c r="K665" t="s">
        <v>21</v>
      </c>
      <c r="L665" t="s">
        <v>21</v>
      </c>
      <c r="M665" t="s">
        <v>21</v>
      </c>
      <c r="N665" t="s">
        <v>21</v>
      </c>
      <c r="O665" t="s">
        <v>21</v>
      </c>
      <c r="P665">
        <v>2602.9</v>
      </c>
      <c r="Q665">
        <v>2646.6</v>
      </c>
      <c r="R665">
        <v>2659.36</v>
      </c>
      <c r="S665">
        <v>2684.88</v>
      </c>
      <c r="T665">
        <v>2710.4</v>
      </c>
      <c r="U665">
        <v>2755.6</v>
      </c>
      <c r="V665">
        <v>2766.9</v>
      </c>
      <c r="W665">
        <v>2797.98</v>
      </c>
      <c r="X665">
        <v>2818.7</v>
      </c>
      <c r="Y665">
        <v>2838.2599999999998</v>
      </c>
      <c r="Z665">
        <v>2867.6</v>
      </c>
      <c r="AA665">
        <v>2876.98</v>
      </c>
      <c r="AB665">
        <v>2914.5</v>
      </c>
      <c r="AC665">
        <v>2960.3</v>
      </c>
      <c r="AD665">
        <v>3005.3</v>
      </c>
      <c r="AE665">
        <v>3050</v>
      </c>
      <c r="AF665">
        <v>3094.6</v>
      </c>
      <c r="AG665">
        <v>3139.2</v>
      </c>
      <c r="AH665">
        <v>3183.9</v>
      </c>
      <c r="AI665">
        <v>3228.8</v>
      </c>
      <c r="AJ665">
        <v>3273.9</v>
      </c>
      <c r="AK665">
        <v>3319.5</v>
      </c>
      <c r="AL665">
        <v>3365.1</v>
      </c>
    </row>
    <row r="666" spans="1:38" x14ac:dyDescent="0.3">
      <c r="A666">
        <v>4600</v>
      </c>
      <c r="B666">
        <v>258.75</v>
      </c>
      <c r="C666" t="s">
        <v>19</v>
      </c>
      <c r="D666">
        <v>1128.8</v>
      </c>
      <c r="E666">
        <v>2797</v>
      </c>
      <c r="F666" t="s">
        <v>21</v>
      </c>
      <c r="G666" t="s">
        <v>21</v>
      </c>
      <c r="H666" t="s">
        <v>21</v>
      </c>
      <c r="I666" t="s">
        <v>21</v>
      </c>
      <c r="J666" t="s">
        <v>21</v>
      </c>
      <c r="K666" t="s">
        <v>21</v>
      </c>
      <c r="L666" t="s">
        <v>21</v>
      </c>
      <c r="M666" t="s">
        <v>21</v>
      </c>
      <c r="N666" t="s">
        <v>21</v>
      </c>
      <c r="O666" t="s">
        <v>21</v>
      </c>
      <c r="P666">
        <v>2802</v>
      </c>
      <c r="Q666">
        <v>2858.2</v>
      </c>
      <c r="R666">
        <v>2874.66</v>
      </c>
      <c r="S666">
        <v>2907.58</v>
      </c>
      <c r="T666">
        <v>2940.5</v>
      </c>
      <c r="U666">
        <v>2999.06</v>
      </c>
      <c r="V666">
        <v>3013.7</v>
      </c>
      <c r="W666">
        <v>3054.02</v>
      </c>
      <c r="X666">
        <v>3080.9</v>
      </c>
      <c r="Y666">
        <v>3106.3</v>
      </c>
      <c r="Z666">
        <v>3144.4</v>
      </c>
      <c r="AA666">
        <v>3156.58</v>
      </c>
      <c r="AB666">
        <v>3205.3</v>
      </c>
      <c r="AC666">
        <v>3264.7</v>
      </c>
      <c r="AD666">
        <v>3323</v>
      </c>
      <c r="AE666">
        <v>3380.8</v>
      </c>
      <c r="AF666">
        <v>3438.2</v>
      </c>
      <c r="AG666">
        <v>3495.5</v>
      </c>
      <c r="AH666">
        <v>3552.8</v>
      </c>
      <c r="AI666">
        <v>3610.2</v>
      </c>
      <c r="AJ666">
        <v>3667.8</v>
      </c>
      <c r="AK666">
        <v>3725.7</v>
      </c>
      <c r="AL666">
        <v>3783.6</v>
      </c>
    </row>
    <row r="667" spans="1:38" x14ac:dyDescent="0.3">
      <c r="A667">
        <v>4600</v>
      </c>
      <c r="B667">
        <v>258.75</v>
      </c>
      <c r="C667" t="s">
        <v>20</v>
      </c>
      <c r="D667">
        <v>2.8734999999999999</v>
      </c>
      <c r="E667">
        <v>6.0096999999999996</v>
      </c>
      <c r="F667" t="s">
        <v>21</v>
      </c>
      <c r="G667" t="s">
        <v>21</v>
      </c>
      <c r="H667" t="s">
        <v>21</v>
      </c>
      <c r="I667" t="s">
        <v>21</v>
      </c>
      <c r="J667" t="s">
        <v>21</v>
      </c>
      <c r="K667" t="s">
        <v>21</v>
      </c>
      <c r="L667" t="s">
        <v>21</v>
      </c>
      <c r="M667" t="s">
        <v>21</v>
      </c>
      <c r="N667" t="s">
        <v>21</v>
      </c>
      <c r="O667" t="s">
        <v>21</v>
      </c>
      <c r="P667">
        <v>6.0190000000000001</v>
      </c>
      <c r="Q667">
        <v>6.1230000000000002</v>
      </c>
      <c r="R667">
        <v>6.1524000000000001</v>
      </c>
      <c r="S667">
        <v>6.2111999999999998</v>
      </c>
      <c r="T667">
        <v>6.27</v>
      </c>
      <c r="U667">
        <v>6.3699199999999996</v>
      </c>
      <c r="V667">
        <v>6.3948999999999998</v>
      </c>
      <c r="W667">
        <v>6.46096</v>
      </c>
      <c r="X667">
        <v>6.5049999999999999</v>
      </c>
      <c r="Y667">
        <v>6.5449599999999997</v>
      </c>
      <c r="Z667">
        <v>6.6048999999999998</v>
      </c>
      <c r="AA667">
        <v>6.6233599999999999</v>
      </c>
      <c r="AB667">
        <v>6.6971999999999996</v>
      </c>
      <c r="AC667">
        <v>6.7838000000000003</v>
      </c>
      <c r="AD667">
        <v>6.8658999999999999</v>
      </c>
      <c r="AE667">
        <v>6.9443999999999999</v>
      </c>
      <c r="AF667">
        <v>7.0198999999999998</v>
      </c>
      <c r="AG667">
        <v>7.0928000000000004</v>
      </c>
      <c r="AH667">
        <v>7.1635999999999997</v>
      </c>
      <c r="AI667">
        <v>7.2323000000000004</v>
      </c>
      <c r="AJ667">
        <v>7.2991000000000001</v>
      </c>
      <c r="AK667">
        <v>7.3635999999999999</v>
      </c>
      <c r="AL667">
        <v>7.4280999999999997</v>
      </c>
    </row>
    <row r="668" spans="1:38" x14ac:dyDescent="0.3">
      <c r="A668">
        <v>4700</v>
      </c>
      <c r="B668">
        <v>260.07</v>
      </c>
      <c r="C668" t="s">
        <v>0</v>
      </c>
      <c r="D668">
        <v>1.276</v>
      </c>
      <c r="E668">
        <v>42.081000000000003</v>
      </c>
      <c r="F668" t="s">
        <v>21</v>
      </c>
      <c r="G668" t="s">
        <v>21</v>
      </c>
      <c r="H668" t="s">
        <v>21</v>
      </c>
      <c r="I668" t="s">
        <v>21</v>
      </c>
      <c r="J668" t="s">
        <v>21</v>
      </c>
      <c r="K668" t="s">
        <v>21</v>
      </c>
      <c r="L668" t="s">
        <v>21</v>
      </c>
      <c r="M668" t="s">
        <v>21</v>
      </c>
      <c r="N668" t="s">
        <v>21</v>
      </c>
      <c r="O668" t="s">
        <v>21</v>
      </c>
      <c r="P668" t="s">
        <v>21</v>
      </c>
      <c r="Q668">
        <v>44.777999999999999</v>
      </c>
      <c r="R668">
        <v>45.576799999999999</v>
      </c>
      <c r="S668">
        <v>47.174399999999999</v>
      </c>
      <c r="T668">
        <v>48.771999999999998</v>
      </c>
      <c r="U668">
        <v>51.6312</v>
      </c>
      <c r="V668">
        <v>52.345999999999997</v>
      </c>
      <c r="W668">
        <v>54.329000000000001</v>
      </c>
      <c r="X668">
        <v>55.651000000000003</v>
      </c>
      <c r="Y668">
        <v>56.900600000000004</v>
      </c>
      <c r="Z668">
        <v>58.774999999999999</v>
      </c>
      <c r="AA668">
        <v>59.374600000000001</v>
      </c>
      <c r="AB668">
        <v>61.773000000000003</v>
      </c>
      <c r="AC668">
        <v>64.679000000000002</v>
      </c>
      <c r="AD668">
        <v>67.516999999999996</v>
      </c>
      <c r="AE668">
        <v>70.304000000000002</v>
      </c>
      <c r="AF668">
        <v>73.051000000000002</v>
      </c>
      <c r="AG668">
        <v>75.765000000000001</v>
      </c>
      <c r="AH668">
        <v>78.451999999999998</v>
      </c>
      <c r="AI668">
        <v>81.116</v>
      </c>
      <c r="AJ668">
        <v>83.76</v>
      </c>
      <c r="AK668">
        <v>86.378500000000003</v>
      </c>
      <c r="AL668">
        <v>88.997</v>
      </c>
    </row>
    <row r="669" spans="1:38" x14ac:dyDescent="0.3">
      <c r="A669">
        <v>4700</v>
      </c>
      <c r="B669">
        <v>260.07</v>
      </c>
      <c r="C669" t="s">
        <v>18</v>
      </c>
      <c r="D669">
        <v>1129.3</v>
      </c>
      <c r="E669">
        <v>2598.6</v>
      </c>
      <c r="F669" t="s">
        <v>21</v>
      </c>
      <c r="G669" t="s">
        <v>21</v>
      </c>
      <c r="H669" t="s">
        <v>21</v>
      </c>
      <c r="I669" t="s">
        <v>21</v>
      </c>
      <c r="J669" t="s">
        <v>21</v>
      </c>
      <c r="K669" t="s">
        <v>21</v>
      </c>
      <c r="L669" t="s">
        <v>21</v>
      </c>
      <c r="M669" t="s">
        <v>21</v>
      </c>
      <c r="N669" t="s">
        <v>21</v>
      </c>
      <c r="O669" t="s">
        <v>21</v>
      </c>
      <c r="P669" t="s">
        <v>21</v>
      </c>
      <c r="Q669">
        <v>2642.9</v>
      </c>
      <c r="R669">
        <v>2655.84</v>
      </c>
      <c r="S669">
        <v>2681.7200000000003</v>
      </c>
      <c r="T669">
        <v>2707.6</v>
      </c>
      <c r="U669">
        <v>2753.2799999999997</v>
      </c>
      <c r="V669">
        <v>2764.7</v>
      </c>
      <c r="W669">
        <v>2796.02</v>
      </c>
      <c r="X669">
        <v>2816.9</v>
      </c>
      <c r="Y669">
        <v>2836.58</v>
      </c>
      <c r="Z669">
        <v>2866.1</v>
      </c>
      <c r="AA669">
        <v>2875.52</v>
      </c>
      <c r="AB669">
        <v>2913.2</v>
      </c>
      <c r="AC669">
        <v>2959.1</v>
      </c>
      <c r="AD669">
        <v>3004.3</v>
      </c>
      <c r="AE669">
        <v>3049.1</v>
      </c>
      <c r="AF669">
        <v>3093.7</v>
      </c>
      <c r="AG669">
        <v>3138.4</v>
      </c>
      <c r="AH669">
        <v>3183.1</v>
      </c>
      <c r="AI669">
        <v>3228.1</v>
      </c>
      <c r="AJ669">
        <v>3273.3</v>
      </c>
      <c r="AK669">
        <v>3318.95</v>
      </c>
      <c r="AL669">
        <v>3364.6</v>
      </c>
    </row>
    <row r="670" spans="1:38" x14ac:dyDescent="0.3">
      <c r="A670">
        <v>4700</v>
      </c>
      <c r="B670">
        <v>260.07</v>
      </c>
      <c r="C670" t="s">
        <v>19</v>
      </c>
      <c r="D670">
        <v>1135.3</v>
      </c>
      <c r="E670">
        <v>2796.4</v>
      </c>
      <c r="F670" t="s">
        <v>21</v>
      </c>
      <c r="G670" t="s">
        <v>21</v>
      </c>
      <c r="H670" t="s">
        <v>21</v>
      </c>
      <c r="I670" t="s">
        <v>21</v>
      </c>
      <c r="J670" t="s">
        <v>21</v>
      </c>
      <c r="K670" t="s">
        <v>21</v>
      </c>
      <c r="L670" t="s">
        <v>21</v>
      </c>
      <c r="M670" t="s">
        <v>21</v>
      </c>
      <c r="N670" t="s">
        <v>21</v>
      </c>
      <c r="O670" t="s">
        <v>21</v>
      </c>
      <c r="P670" t="s">
        <v>21</v>
      </c>
      <c r="Q670">
        <v>2853.3</v>
      </c>
      <c r="R670">
        <v>2870</v>
      </c>
      <c r="S670">
        <v>2903.4</v>
      </c>
      <c r="T670">
        <v>2936.8</v>
      </c>
      <c r="U670">
        <v>2995.92</v>
      </c>
      <c r="V670">
        <v>3010.7</v>
      </c>
      <c r="W670">
        <v>3051.38</v>
      </c>
      <c r="X670">
        <v>3078.5</v>
      </c>
      <c r="Y670">
        <v>3104.02</v>
      </c>
      <c r="Z670">
        <v>3142.3</v>
      </c>
      <c r="AA670">
        <v>3154.56</v>
      </c>
      <c r="AB670">
        <v>3203.6</v>
      </c>
      <c r="AC670">
        <v>3263.1</v>
      </c>
      <c r="AD670">
        <v>3321.6</v>
      </c>
      <c r="AE670">
        <v>3379.5</v>
      </c>
      <c r="AF670">
        <v>3437.1</v>
      </c>
      <c r="AG670">
        <v>3494.5</v>
      </c>
      <c r="AH670">
        <v>3551.9</v>
      </c>
      <c r="AI670">
        <v>3609.3</v>
      </c>
      <c r="AJ670">
        <v>3667</v>
      </c>
      <c r="AK670">
        <v>3724.95</v>
      </c>
      <c r="AL670">
        <v>3782.9</v>
      </c>
    </row>
    <row r="671" spans="1:38" x14ac:dyDescent="0.3">
      <c r="A671">
        <v>4700</v>
      </c>
      <c r="B671">
        <v>260.07</v>
      </c>
      <c r="C671" t="s">
        <v>20</v>
      </c>
      <c r="D671">
        <v>2.8855</v>
      </c>
      <c r="E671">
        <v>6.0004</v>
      </c>
      <c r="F671" t="s">
        <v>21</v>
      </c>
      <c r="G671" t="s">
        <v>21</v>
      </c>
      <c r="H671" t="s">
        <v>21</v>
      </c>
      <c r="I671" t="s">
        <v>21</v>
      </c>
      <c r="J671" t="s">
        <v>21</v>
      </c>
      <c r="K671" t="s">
        <v>21</v>
      </c>
      <c r="L671" t="s">
        <v>21</v>
      </c>
      <c r="M671" t="s">
        <v>21</v>
      </c>
      <c r="N671" t="s">
        <v>21</v>
      </c>
      <c r="O671" t="s">
        <v>21</v>
      </c>
      <c r="P671" t="s">
        <v>21</v>
      </c>
      <c r="Q671">
        <v>6.1058000000000003</v>
      </c>
      <c r="R671">
        <v>6.1356200000000003</v>
      </c>
      <c r="S671">
        <v>6.1952600000000002</v>
      </c>
      <c r="T671">
        <v>6.2549000000000001</v>
      </c>
      <c r="U671">
        <v>6.3558599999999998</v>
      </c>
      <c r="V671">
        <v>6.3811</v>
      </c>
      <c r="W671">
        <v>6.4477000000000002</v>
      </c>
      <c r="X671">
        <v>6.4920999999999998</v>
      </c>
      <c r="Y671">
        <v>6.5323000000000002</v>
      </c>
      <c r="Z671">
        <v>6.5926</v>
      </c>
      <c r="AA671">
        <v>6.6111399999999998</v>
      </c>
      <c r="AB671">
        <v>6.6852999999999998</v>
      </c>
      <c r="AC671">
        <v>6.7721999999999998</v>
      </c>
      <c r="AD671">
        <v>6.8544999999999998</v>
      </c>
      <c r="AE671">
        <v>6.9332000000000003</v>
      </c>
      <c r="AF671">
        <v>7.0088999999999997</v>
      </c>
      <c r="AG671">
        <v>7.0819000000000001</v>
      </c>
      <c r="AH671">
        <v>7.1527000000000003</v>
      </c>
      <c r="AI671">
        <v>7.2214999999999998</v>
      </c>
      <c r="AJ671">
        <v>7.2885</v>
      </c>
      <c r="AK671">
        <v>7.3530499999999996</v>
      </c>
      <c r="AL671">
        <v>7.4176000000000002</v>
      </c>
    </row>
    <row r="672" spans="1:38" x14ac:dyDescent="0.3">
      <c r="A672">
        <v>4800</v>
      </c>
      <c r="B672">
        <v>261.37</v>
      </c>
      <c r="C672" t="s">
        <v>0</v>
      </c>
      <c r="D672">
        <v>1.2789999999999999</v>
      </c>
      <c r="E672">
        <v>41.161000000000001</v>
      </c>
      <c r="F672" t="s">
        <v>21</v>
      </c>
      <c r="G672" t="s">
        <v>21</v>
      </c>
      <c r="H672" t="s">
        <v>21</v>
      </c>
      <c r="I672" t="s">
        <v>21</v>
      </c>
      <c r="J672" t="s">
        <v>21</v>
      </c>
      <c r="K672" t="s">
        <v>21</v>
      </c>
      <c r="L672" t="s">
        <v>21</v>
      </c>
      <c r="M672" t="s">
        <v>21</v>
      </c>
      <c r="N672" t="s">
        <v>21</v>
      </c>
      <c r="O672" t="s">
        <v>21</v>
      </c>
      <c r="P672" t="s">
        <v>21</v>
      </c>
      <c r="Q672">
        <v>43.603999999999999</v>
      </c>
      <c r="R672">
        <v>44.396999999999998</v>
      </c>
      <c r="S672">
        <v>45.983000000000004</v>
      </c>
      <c r="T672">
        <v>47.569000000000003</v>
      </c>
      <c r="U672">
        <v>50.3962</v>
      </c>
      <c r="V672">
        <v>51.103000000000002</v>
      </c>
      <c r="W672">
        <v>53.059599999999996</v>
      </c>
      <c r="X672">
        <v>54.363999999999997</v>
      </c>
      <c r="Y672">
        <v>55.594799999999999</v>
      </c>
      <c r="Z672">
        <v>57.441000000000003</v>
      </c>
      <c r="AA672">
        <v>58.030799999999999</v>
      </c>
      <c r="AB672">
        <v>60.39</v>
      </c>
      <c r="AC672">
        <v>63.247</v>
      </c>
      <c r="AD672">
        <v>66.036000000000001</v>
      </c>
      <c r="AE672">
        <v>68.772999999999996</v>
      </c>
      <c r="AF672">
        <v>71.468999999999994</v>
      </c>
      <c r="AG672">
        <v>74.132000000000005</v>
      </c>
      <c r="AH672">
        <v>76.768000000000001</v>
      </c>
      <c r="AI672">
        <v>79.381</v>
      </c>
      <c r="AJ672">
        <v>81.972999999999999</v>
      </c>
      <c r="AK672">
        <v>84.540999999999997</v>
      </c>
      <c r="AL672">
        <v>87.108999999999995</v>
      </c>
    </row>
    <row r="673" spans="1:38" x14ac:dyDescent="0.3">
      <c r="A673">
        <v>4800</v>
      </c>
      <c r="B673">
        <v>261.37</v>
      </c>
      <c r="C673" t="s">
        <v>18</v>
      </c>
      <c r="D673">
        <v>1135.5999999999999</v>
      </c>
      <c r="E673">
        <v>2598.1</v>
      </c>
      <c r="F673" t="s">
        <v>21</v>
      </c>
      <c r="G673" t="s">
        <v>21</v>
      </c>
      <c r="H673" t="s">
        <v>21</v>
      </c>
      <c r="I673" t="s">
        <v>21</v>
      </c>
      <c r="J673" t="s">
        <v>21</v>
      </c>
      <c r="K673" t="s">
        <v>21</v>
      </c>
      <c r="L673" t="s">
        <v>21</v>
      </c>
      <c r="M673" t="s">
        <v>21</v>
      </c>
      <c r="N673" t="s">
        <v>21</v>
      </c>
      <c r="O673" t="s">
        <v>21</v>
      </c>
      <c r="P673" t="s">
        <v>21</v>
      </c>
      <c r="Q673">
        <v>2639.1</v>
      </c>
      <c r="R673">
        <v>2652.24</v>
      </c>
      <c r="S673">
        <v>2678.52</v>
      </c>
      <c r="T673">
        <v>2704.8</v>
      </c>
      <c r="U673">
        <v>2750.96</v>
      </c>
      <c r="V673">
        <v>2762.5</v>
      </c>
      <c r="W673">
        <v>2794.06</v>
      </c>
      <c r="X673">
        <v>2815.1</v>
      </c>
      <c r="Y673">
        <v>2834.9</v>
      </c>
      <c r="Z673">
        <v>2864.6</v>
      </c>
      <c r="AA673">
        <v>2874.06</v>
      </c>
      <c r="AB673">
        <v>2911.9</v>
      </c>
      <c r="AC673">
        <v>2958</v>
      </c>
      <c r="AD673">
        <v>3003.3</v>
      </c>
      <c r="AE673">
        <v>3048.2</v>
      </c>
      <c r="AF673">
        <v>3092.9</v>
      </c>
      <c r="AG673">
        <v>3137.6</v>
      </c>
      <c r="AH673">
        <v>3182.4</v>
      </c>
      <c r="AI673">
        <v>3227.4</v>
      </c>
      <c r="AJ673">
        <v>3272.7</v>
      </c>
      <c r="AK673">
        <v>3318.35</v>
      </c>
      <c r="AL673">
        <v>3364</v>
      </c>
    </row>
    <row r="674" spans="1:38" x14ac:dyDescent="0.3">
      <c r="A674">
        <v>4800</v>
      </c>
      <c r="B674">
        <v>261.37</v>
      </c>
      <c r="C674" t="s">
        <v>19</v>
      </c>
      <c r="D674">
        <v>1141.8</v>
      </c>
      <c r="E674">
        <v>2795.7</v>
      </c>
      <c r="F674" t="s">
        <v>21</v>
      </c>
      <c r="G674" t="s">
        <v>21</v>
      </c>
      <c r="H674" t="s">
        <v>21</v>
      </c>
      <c r="I674" t="s">
        <v>21</v>
      </c>
      <c r="J674" t="s">
        <v>21</v>
      </c>
      <c r="K674" t="s">
        <v>21</v>
      </c>
      <c r="L674" t="s">
        <v>21</v>
      </c>
      <c r="M674" t="s">
        <v>21</v>
      </c>
      <c r="N674" t="s">
        <v>21</v>
      </c>
      <c r="O674" t="s">
        <v>21</v>
      </c>
      <c r="P674" t="s">
        <v>21</v>
      </c>
      <c r="Q674">
        <v>2848.4</v>
      </c>
      <c r="R674">
        <v>2865.34</v>
      </c>
      <c r="S674">
        <v>2899.2200000000003</v>
      </c>
      <c r="T674">
        <v>2933.1</v>
      </c>
      <c r="U674">
        <v>2992.86</v>
      </c>
      <c r="V674">
        <v>3007.8</v>
      </c>
      <c r="W674">
        <v>3048.78</v>
      </c>
      <c r="X674">
        <v>3076.1</v>
      </c>
      <c r="Y674">
        <v>3101.78</v>
      </c>
      <c r="Z674">
        <v>3140.3</v>
      </c>
      <c r="AA674">
        <v>3152.6000000000004</v>
      </c>
      <c r="AB674">
        <v>3201.8</v>
      </c>
      <c r="AC674">
        <v>3261.6</v>
      </c>
      <c r="AD674">
        <v>3320.3</v>
      </c>
      <c r="AE674">
        <v>3378.3</v>
      </c>
      <c r="AF674">
        <v>3435.9</v>
      </c>
      <c r="AG674">
        <v>3493.4</v>
      </c>
      <c r="AH674">
        <v>3550.9</v>
      </c>
      <c r="AI674">
        <v>3608.5</v>
      </c>
      <c r="AJ674">
        <v>3666.2</v>
      </c>
      <c r="AK674">
        <v>3724.1499999999996</v>
      </c>
      <c r="AL674">
        <v>3782.1</v>
      </c>
    </row>
    <row r="675" spans="1:38" x14ac:dyDescent="0.3">
      <c r="A675">
        <v>4800</v>
      </c>
      <c r="B675">
        <v>261.37</v>
      </c>
      <c r="C675" t="s">
        <v>20</v>
      </c>
      <c r="D675">
        <v>2.8974000000000002</v>
      </c>
      <c r="E675">
        <v>5.9912999999999998</v>
      </c>
      <c r="F675" t="s">
        <v>21</v>
      </c>
      <c r="G675" t="s">
        <v>21</v>
      </c>
      <c r="H675" t="s">
        <v>21</v>
      </c>
      <c r="I675" t="s">
        <v>21</v>
      </c>
      <c r="J675" t="s">
        <v>21</v>
      </c>
      <c r="K675" t="s">
        <v>21</v>
      </c>
      <c r="L675" t="s">
        <v>21</v>
      </c>
      <c r="M675" t="s">
        <v>21</v>
      </c>
      <c r="N675" t="s">
        <v>21</v>
      </c>
      <c r="O675" t="s">
        <v>21</v>
      </c>
      <c r="P675" t="s">
        <v>21</v>
      </c>
      <c r="Q675">
        <v>6.0887000000000002</v>
      </c>
      <c r="R675">
        <v>6.1189400000000003</v>
      </c>
      <c r="S675">
        <v>6.1794200000000004</v>
      </c>
      <c r="T675">
        <v>6.2398999999999996</v>
      </c>
      <c r="U675">
        <v>6.3419799999999995</v>
      </c>
      <c r="V675">
        <v>6.3674999999999997</v>
      </c>
      <c r="W675">
        <v>6.4346399999999999</v>
      </c>
      <c r="X675">
        <v>6.4794</v>
      </c>
      <c r="Y675">
        <v>6.5198400000000003</v>
      </c>
      <c r="Z675">
        <v>6.5804999999999998</v>
      </c>
      <c r="AA675">
        <v>6.5991200000000001</v>
      </c>
      <c r="AB675">
        <v>6.6736000000000004</v>
      </c>
      <c r="AC675">
        <v>6.7607999999999997</v>
      </c>
      <c r="AD675">
        <v>6.8433999999999999</v>
      </c>
      <c r="AE675">
        <v>6.9222999999999999</v>
      </c>
      <c r="AF675">
        <v>6.9981</v>
      </c>
      <c r="AG675">
        <v>7.0712000000000002</v>
      </c>
      <c r="AH675">
        <v>7.1421999999999999</v>
      </c>
      <c r="AI675">
        <v>7.2110000000000003</v>
      </c>
      <c r="AJ675">
        <v>7.2781000000000002</v>
      </c>
      <c r="AK675">
        <v>7.3426499999999999</v>
      </c>
      <c r="AL675">
        <v>7.4071999999999996</v>
      </c>
    </row>
    <row r="676" spans="1:38" x14ac:dyDescent="0.3">
      <c r="A676">
        <v>4900</v>
      </c>
      <c r="B676">
        <v>262.64999999999998</v>
      </c>
      <c r="C676" t="s">
        <v>0</v>
      </c>
      <c r="D676">
        <v>1.282</v>
      </c>
      <c r="E676">
        <v>40.277999999999999</v>
      </c>
      <c r="F676" t="s">
        <v>21</v>
      </c>
      <c r="G676" t="s">
        <v>21</v>
      </c>
      <c r="H676" t="s">
        <v>21</v>
      </c>
      <c r="I676" t="s">
        <v>21</v>
      </c>
      <c r="J676" t="s">
        <v>21</v>
      </c>
      <c r="K676" t="s">
        <v>21</v>
      </c>
      <c r="L676" t="s">
        <v>21</v>
      </c>
      <c r="M676" t="s">
        <v>21</v>
      </c>
      <c r="N676" t="s">
        <v>21</v>
      </c>
      <c r="O676" t="s">
        <v>21</v>
      </c>
      <c r="P676" t="s">
        <v>21</v>
      </c>
      <c r="Q676">
        <v>42.475000000000001</v>
      </c>
      <c r="R676">
        <v>43.2624</v>
      </c>
      <c r="S676">
        <v>44.837199999999996</v>
      </c>
      <c r="T676">
        <v>46.411999999999999</v>
      </c>
      <c r="U676">
        <v>49.209600000000002</v>
      </c>
      <c r="V676">
        <v>49.908999999999999</v>
      </c>
      <c r="W676">
        <v>51.840400000000002</v>
      </c>
      <c r="X676">
        <v>53.128</v>
      </c>
      <c r="Y676">
        <v>54.341200000000001</v>
      </c>
      <c r="Z676">
        <v>56.161000000000001</v>
      </c>
      <c r="AA676">
        <v>56.741599999999998</v>
      </c>
      <c r="AB676">
        <v>59.064</v>
      </c>
      <c r="AC676">
        <v>61.874000000000002</v>
      </c>
      <c r="AD676">
        <v>64.614999999999995</v>
      </c>
      <c r="AE676">
        <v>67.302999999999997</v>
      </c>
      <c r="AF676">
        <v>69.950999999999993</v>
      </c>
      <c r="AG676">
        <v>72.564999999999998</v>
      </c>
      <c r="AH676">
        <v>75.152000000000001</v>
      </c>
      <c r="AI676">
        <v>77.715999999999994</v>
      </c>
      <c r="AJ676">
        <v>80.260000000000005</v>
      </c>
      <c r="AK676">
        <v>82.778999999999996</v>
      </c>
      <c r="AL676">
        <v>85.298000000000002</v>
      </c>
    </row>
    <row r="677" spans="1:38" x14ac:dyDescent="0.3">
      <c r="A677">
        <v>4900</v>
      </c>
      <c r="B677">
        <v>262.64999999999998</v>
      </c>
      <c r="C677" t="s">
        <v>18</v>
      </c>
      <c r="D677">
        <v>1141.9000000000001</v>
      </c>
      <c r="E677">
        <v>2597.6</v>
      </c>
      <c r="F677" t="s">
        <v>21</v>
      </c>
      <c r="G677" t="s">
        <v>21</v>
      </c>
      <c r="H677" t="s">
        <v>21</v>
      </c>
      <c r="I677" t="s">
        <v>21</v>
      </c>
      <c r="J677" t="s">
        <v>21</v>
      </c>
      <c r="K677" t="s">
        <v>21</v>
      </c>
      <c r="L677" t="s">
        <v>21</v>
      </c>
      <c r="M677" t="s">
        <v>21</v>
      </c>
      <c r="N677" t="s">
        <v>21</v>
      </c>
      <c r="O677" t="s">
        <v>21</v>
      </c>
      <c r="P677" t="s">
        <v>21</v>
      </c>
      <c r="Q677">
        <v>2635.2</v>
      </c>
      <c r="R677">
        <v>2648.54</v>
      </c>
      <c r="S677">
        <v>2675.2200000000003</v>
      </c>
      <c r="T677">
        <v>2701.9</v>
      </c>
      <c r="U677">
        <v>2748.54</v>
      </c>
      <c r="V677">
        <v>2760.2</v>
      </c>
      <c r="W677">
        <v>2792.06</v>
      </c>
      <c r="X677">
        <v>2813.3</v>
      </c>
      <c r="Y677">
        <v>2833.1800000000003</v>
      </c>
      <c r="Z677">
        <v>2863</v>
      </c>
      <c r="AA677">
        <v>2872.52</v>
      </c>
      <c r="AB677">
        <v>2910.6</v>
      </c>
      <c r="AC677">
        <v>2956.9</v>
      </c>
      <c r="AD677">
        <v>3002.3</v>
      </c>
      <c r="AE677">
        <v>3047.2</v>
      </c>
      <c r="AF677">
        <v>3092</v>
      </c>
      <c r="AG677">
        <v>3136.8</v>
      </c>
      <c r="AH677">
        <v>3181.7</v>
      </c>
      <c r="AI677">
        <v>3226.8</v>
      </c>
      <c r="AJ677">
        <v>3272</v>
      </c>
      <c r="AK677">
        <v>3317.75</v>
      </c>
      <c r="AL677">
        <v>3363.5</v>
      </c>
    </row>
    <row r="678" spans="1:38" x14ac:dyDescent="0.3">
      <c r="A678">
        <v>4900</v>
      </c>
      <c r="B678">
        <v>262.64999999999998</v>
      </c>
      <c r="C678" t="s">
        <v>19</v>
      </c>
      <c r="D678">
        <v>1148.2</v>
      </c>
      <c r="E678">
        <v>2794.9</v>
      </c>
      <c r="F678" t="s">
        <v>21</v>
      </c>
      <c r="G678" t="s">
        <v>21</v>
      </c>
      <c r="H678" t="s">
        <v>21</v>
      </c>
      <c r="I678" t="s">
        <v>21</v>
      </c>
      <c r="J678" t="s">
        <v>21</v>
      </c>
      <c r="K678" t="s">
        <v>21</v>
      </c>
      <c r="L678" t="s">
        <v>21</v>
      </c>
      <c r="M678" t="s">
        <v>21</v>
      </c>
      <c r="N678" t="s">
        <v>21</v>
      </c>
      <c r="O678" t="s">
        <v>21</v>
      </c>
      <c r="P678" t="s">
        <v>21</v>
      </c>
      <c r="Q678">
        <v>2843.3</v>
      </c>
      <c r="R678">
        <v>2860.5</v>
      </c>
      <c r="S678">
        <v>2894.9</v>
      </c>
      <c r="T678">
        <v>2929.3</v>
      </c>
      <c r="U678">
        <v>2989.7000000000003</v>
      </c>
      <c r="V678">
        <v>3004.8</v>
      </c>
      <c r="W678">
        <v>3046.08</v>
      </c>
      <c r="X678">
        <v>3073.6</v>
      </c>
      <c r="Y678">
        <v>3099.44</v>
      </c>
      <c r="Z678">
        <v>3138.2</v>
      </c>
      <c r="AA678">
        <v>3150.56</v>
      </c>
      <c r="AB678">
        <v>3200</v>
      </c>
      <c r="AC678">
        <v>3260</v>
      </c>
      <c r="AD678">
        <v>3318.9</v>
      </c>
      <c r="AE678">
        <v>3377</v>
      </c>
      <c r="AF678">
        <v>3434.8</v>
      </c>
      <c r="AG678">
        <v>3492.4</v>
      </c>
      <c r="AH678">
        <v>3549.9</v>
      </c>
      <c r="AI678">
        <v>3607.6</v>
      </c>
      <c r="AJ678">
        <v>3665.3</v>
      </c>
      <c r="AK678">
        <v>3723.3500000000004</v>
      </c>
      <c r="AL678">
        <v>3781.4</v>
      </c>
    </row>
    <row r="679" spans="1:38" x14ac:dyDescent="0.3">
      <c r="A679">
        <v>4900</v>
      </c>
      <c r="B679">
        <v>262.64999999999998</v>
      </c>
      <c r="C679" t="s">
        <v>20</v>
      </c>
      <c r="D679">
        <v>2.9091</v>
      </c>
      <c r="E679">
        <v>5.9823000000000004</v>
      </c>
      <c r="F679" t="s">
        <v>21</v>
      </c>
      <c r="G679" t="s">
        <v>21</v>
      </c>
      <c r="H679" t="s">
        <v>21</v>
      </c>
      <c r="I679" t="s">
        <v>21</v>
      </c>
      <c r="J679" t="s">
        <v>21</v>
      </c>
      <c r="K679" t="s">
        <v>21</v>
      </c>
      <c r="L679" t="s">
        <v>21</v>
      </c>
      <c r="M679" t="s">
        <v>21</v>
      </c>
      <c r="N679" t="s">
        <v>21</v>
      </c>
      <c r="O679" t="s">
        <v>21</v>
      </c>
      <c r="P679" t="s">
        <v>21</v>
      </c>
      <c r="Q679">
        <v>6.0716999999999999</v>
      </c>
      <c r="R679">
        <v>6.1024000000000003</v>
      </c>
      <c r="S679">
        <v>6.1638000000000002</v>
      </c>
      <c r="T679">
        <v>6.2252000000000001</v>
      </c>
      <c r="U679">
        <v>6.3283199999999997</v>
      </c>
      <c r="V679">
        <v>6.3540999999999999</v>
      </c>
      <c r="W679">
        <v>6.42178</v>
      </c>
      <c r="X679">
        <v>6.4668999999999999</v>
      </c>
      <c r="Y679">
        <v>6.5075399999999997</v>
      </c>
      <c r="Z679">
        <v>6.5685000000000002</v>
      </c>
      <c r="AA679">
        <v>6.5872200000000003</v>
      </c>
      <c r="AB679">
        <v>6.6620999999999997</v>
      </c>
      <c r="AC679">
        <v>6.7496</v>
      </c>
      <c r="AD679">
        <v>6.8323999999999998</v>
      </c>
      <c r="AE679">
        <v>6.9115000000000002</v>
      </c>
      <c r="AF679">
        <v>6.9874000000000001</v>
      </c>
      <c r="AG679">
        <v>7.0606999999999998</v>
      </c>
      <c r="AH679">
        <v>7.1318000000000001</v>
      </c>
      <c r="AI679">
        <v>7.2007000000000003</v>
      </c>
      <c r="AJ679">
        <v>7.2678000000000003</v>
      </c>
      <c r="AK679">
        <v>7.3324499999999997</v>
      </c>
      <c r="AL679">
        <v>7.3971</v>
      </c>
    </row>
    <row r="680" spans="1:38" x14ac:dyDescent="0.3">
      <c r="A680">
        <v>5000</v>
      </c>
      <c r="B680">
        <v>263.91000000000003</v>
      </c>
      <c r="C680" t="s">
        <v>0</v>
      </c>
      <c r="D680">
        <v>1.286</v>
      </c>
      <c r="E680">
        <v>39.429000000000002</v>
      </c>
      <c r="F680" t="s">
        <v>21</v>
      </c>
      <c r="G680" t="s">
        <v>21</v>
      </c>
      <c r="H680" t="s">
        <v>21</v>
      </c>
      <c r="I680" t="s">
        <v>21</v>
      </c>
      <c r="J680" t="s">
        <v>21</v>
      </c>
      <c r="K680" t="s">
        <v>21</v>
      </c>
      <c r="L680" t="s">
        <v>21</v>
      </c>
      <c r="M680" t="s">
        <v>21</v>
      </c>
      <c r="N680" t="s">
        <v>21</v>
      </c>
      <c r="O680" t="s">
        <v>21</v>
      </c>
      <c r="P680" t="s">
        <v>21</v>
      </c>
      <c r="Q680">
        <v>41.387999999999998</v>
      </c>
      <c r="R680">
        <v>42.1706</v>
      </c>
      <c r="S680">
        <v>43.735799999999998</v>
      </c>
      <c r="T680">
        <v>45.301000000000002</v>
      </c>
      <c r="U680">
        <v>48.069800000000001</v>
      </c>
      <c r="V680">
        <v>48.762</v>
      </c>
      <c r="W680">
        <v>50.669400000000003</v>
      </c>
      <c r="X680">
        <v>51.941000000000003</v>
      </c>
      <c r="Y680">
        <v>53.1374</v>
      </c>
      <c r="Z680">
        <v>54.932000000000002</v>
      </c>
      <c r="AA680">
        <v>55.503799999999998</v>
      </c>
      <c r="AB680">
        <v>57.790999999999997</v>
      </c>
      <c r="AC680">
        <v>60.555</v>
      </c>
      <c r="AD680">
        <v>63.25</v>
      </c>
      <c r="AE680">
        <v>65.893000000000001</v>
      </c>
      <c r="AF680">
        <v>68.494</v>
      </c>
      <c r="AG680">
        <v>71.061000000000007</v>
      </c>
      <c r="AH680">
        <v>73.602000000000004</v>
      </c>
      <c r="AI680">
        <v>76.119</v>
      </c>
      <c r="AJ680">
        <v>78.616</v>
      </c>
      <c r="AK680">
        <v>81.087500000000006</v>
      </c>
      <c r="AL680">
        <v>83.558999999999997</v>
      </c>
    </row>
    <row r="681" spans="1:38" x14ac:dyDescent="0.3">
      <c r="A681">
        <v>5000</v>
      </c>
      <c r="B681">
        <v>263.91000000000003</v>
      </c>
      <c r="C681" t="s">
        <v>18</v>
      </c>
      <c r="D681">
        <v>1148</v>
      </c>
      <c r="E681">
        <v>2597</v>
      </c>
      <c r="F681" t="s">
        <v>21</v>
      </c>
      <c r="G681" t="s">
        <v>21</v>
      </c>
      <c r="H681" t="s">
        <v>21</v>
      </c>
      <c r="I681" t="s">
        <v>21</v>
      </c>
      <c r="J681" t="s">
        <v>21</v>
      </c>
      <c r="K681" t="s">
        <v>21</v>
      </c>
      <c r="L681" t="s">
        <v>21</v>
      </c>
      <c r="M681" t="s">
        <v>21</v>
      </c>
      <c r="N681" t="s">
        <v>21</v>
      </c>
      <c r="O681" t="s">
        <v>21</v>
      </c>
      <c r="P681" t="s">
        <v>21</v>
      </c>
      <c r="Q681">
        <v>2631.3</v>
      </c>
      <c r="R681">
        <v>2644.84</v>
      </c>
      <c r="S681">
        <v>2671.92</v>
      </c>
      <c r="T681">
        <v>2699</v>
      </c>
      <c r="U681">
        <v>2746.2</v>
      </c>
      <c r="V681">
        <v>2758</v>
      </c>
      <c r="W681">
        <v>2790.1</v>
      </c>
      <c r="X681">
        <v>2811.5</v>
      </c>
      <c r="Y681">
        <v>2831.5</v>
      </c>
      <c r="Z681">
        <v>2861.5</v>
      </c>
      <c r="AA681">
        <v>2871.06</v>
      </c>
      <c r="AB681">
        <v>2909.3</v>
      </c>
      <c r="AC681">
        <v>2955.7</v>
      </c>
      <c r="AD681">
        <v>3001.2</v>
      </c>
      <c r="AE681">
        <v>3046.3</v>
      </c>
      <c r="AF681">
        <v>3091.2</v>
      </c>
      <c r="AG681">
        <v>3136</v>
      </c>
      <c r="AH681">
        <v>3181</v>
      </c>
      <c r="AI681">
        <v>3226.1</v>
      </c>
      <c r="AJ681">
        <v>3271.4</v>
      </c>
      <c r="AK681">
        <v>3317.15</v>
      </c>
      <c r="AL681">
        <v>3362.9</v>
      </c>
    </row>
    <row r="682" spans="1:38" x14ac:dyDescent="0.3">
      <c r="A682">
        <v>5000</v>
      </c>
      <c r="B682">
        <v>263.91000000000003</v>
      </c>
      <c r="C682" t="s">
        <v>19</v>
      </c>
      <c r="D682">
        <v>1154.5</v>
      </c>
      <c r="E682">
        <v>2794.2</v>
      </c>
      <c r="F682" t="s">
        <v>21</v>
      </c>
      <c r="G682" t="s">
        <v>21</v>
      </c>
      <c r="H682" t="s">
        <v>21</v>
      </c>
      <c r="I682" t="s">
        <v>21</v>
      </c>
      <c r="J682" t="s">
        <v>21</v>
      </c>
      <c r="K682" t="s">
        <v>21</v>
      </c>
      <c r="L682" t="s">
        <v>21</v>
      </c>
      <c r="M682" t="s">
        <v>21</v>
      </c>
      <c r="N682" t="s">
        <v>21</v>
      </c>
      <c r="O682" t="s">
        <v>21</v>
      </c>
      <c r="P682" t="s">
        <v>21</v>
      </c>
      <c r="Q682">
        <v>2838.2</v>
      </c>
      <c r="R682">
        <v>2855.66</v>
      </c>
      <c r="S682">
        <v>2890.58</v>
      </c>
      <c r="T682">
        <v>2925.5</v>
      </c>
      <c r="U682">
        <v>2986.54</v>
      </c>
      <c r="V682">
        <v>3001.8</v>
      </c>
      <c r="W682">
        <v>3043.44</v>
      </c>
      <c r="X682">
        <v>3071.2</v>
      </c>
      <c r="Y682">
        <v>3097.2</v>
      </c>
      <c r="Z682">
        <v>3136.2</v>
      </c>
      <c r="AA682">
        <v>3148.62</v>
      </c>
      <c r="AB682">
        <v>3198.3</v>
      </c>
      <c r="AC682">
        <v>3258.5</v>
      </c>
      <c r="AD682">
        <v>3317.5</v>
      </c>
      <c r="AE682">
        <v>3375.8</v>
      </c>
      <c r="AF682">
        <v>3433.7</v>
      </c>
      <c r="AG682">
        <v>3491.3</v>
      </c>
      <c r="AH682">
        <v>3549</v>
      </c>
      <c r="AI682">
        <v>3606.7</v>
      </c>
      <c r="AJ682">
        <v>3664.5</v>
      </c>
      <c r="AK682">
        <v>3722.6</v>
      </c>
      <c r="AL682">
        <v>3780.7</v>
      </c>
    </row>
    <row r="683" spans="1:38" x14ac:dyDescent="0.3">
      <c r="A683">
        <v>5000</v>
      </c>
      <c r="B683">
        <v>263.91000000000003</v>
      </c>
      <c r="C683" t="s">
        <v>20</v>
      </c>
      <c r="D683">
        <v>2.9205999999999999</v>
      </c>
      <c r="E683">
        <v>5.9734999999999996</v>
      </c>
      <c r="F683" t="s">
        <v>21</v>
      </c>
      <c r="G683" t="s">
        <v>21</v>
      </c>
      <c r="H683" t="s">
        <v>21</v>
      </c>
      <c r="I683" t="s">
        <v>21</v>
      </c>
      <c r="J683" t="s">
        <v>21</v>
      </c>
      <c r="K683" t="s">
        <v>21</v>
      </c>
      <c r="L683" t="s">
        <v>21</v>
      </c>
      <c r="M683" t="s">
        <v>21</v>
      </c>
      <c r="N683" t="s">
        <v>21</v>
      </c>
      <c r="O683" t="s">
        <v>21</v>
      </c>
      <c r="P683" t="s">
        <v>21</v>
      </c>
      <c r="Q683">
        <v>6.0547000000000004</v>
      </c>
      <c r="R683">
        <v>6.0858600000000003</v>
      </c>
      <c r="S683">
        <v>6.14818</v>
      </c>
      <c r="T683">
        <v>6.2104999999999997</v>
      </c>
      <c r="U683">
        <v>6.3147399999999996</v>
      </c>
      <c r="V683">
        <v>6.3407999999999998</v>
      </c>
      <c r="W683">
        <v>6.4090199999999999</v>
      </c>
      <c r="X683">
        <v>6.4545000000000003</v>
      </c>
      <c r="Y683">
        <v>6.4954200000000002</v>
      </c>
      <c r="Z683">
        <v>6.5568</v>
      </c>
      <c r="AA683">
        <v>6.5755999999999997</v>
      </c>
      <c r="AB683">
        <v>6.6508000000000003</v>
      </c>
      <c r="AC683">
        <v>6.7385999999999999</v>
      </c>
      <c r="AD683">
        <v>6.8216999999999999</v>
      </c>
      <c r="AE683">
        <v>6.9009</v>
      </c>
      <c r="AF683">
        <v>6.9770000000000003</v>
      </c>
      <c r="AG683">
        <v>7.0503999999999998</v>
      </c>
      <c r="AH683">
        <v>7.1215000000000002</v>
      </c>
      <c r="AI683">
        <v>7.1905999999999999</v>
      </c>
      <c r="AJ683">
        <v>7.2577999999999996</v>
      </c>
      <c r="AK683">
        <v>7.3224999999999998</v>
      </c>
      <c r="AL683">
        <v>7.3872</v>
      </c>
    </row>
    <row r="684" spans="1:38" x14ac:dyDescent="0.3">
      <c r="A684">
        <v>5100</v>
      </c>
      <c r="B684">
        <v>265.14999999999998</v>
      </c>
      <c r="C684" t="s">
        <v>0</v>
      </c>
      <c r="D684">
        <v>1.2889999999999999</v>
      </c>
      <c r="E684">
        <v>38.610999999999997</v>
      </c>
      <c r="F684" t="s">
        <v>21</v>
      </c>
      <c r="G684" t="s">
        <v>21</v>
      </c>
      <c r="H684" t="s">
        <v>21</v>
      </c>
      <c r="I684" t="s">
        <v>21</v>
      </c>
      <c r="J684" t="s">
        <v>21</v>
      </c>
      <c r="K684" t="s">
        <v>21</v>
      </c>
      <c r="L684" t="s">
        <v>21</v>
      </c>
      <c r="M684" t="s">
        <v>21</v>
      </c>
      <c r="N684" t="s">
        <v>21</v>
      </c>
      <c r="O684" t="s">
        <v>21</v>
      </c>
      <c r="P684" t="s">
        <v>21</v>
      </c>
      <c r="Q684">
        <v>40.340000000000003</v>
      </c>
      <c r="R684">
        <v>41.118200000000002</v>
      </c>
      <c r="S684">
        <v>42.674599999999998</v>
      </c>
      <c r="T684">
        <v>44.231000000000002</v>
      </c>
      <c r="U684">
        <v>46.974199999999996</v>
      </c>
      <c r="V684">
        <v>47.66</v>
      </c>
      <c r="W684">
        <v>49.544600000000003</v>
      </c>
      <c r="X684">
        <v>50.801000000000002</v>
      </c>
      <c r="Y684">
        <v>51.980600000000003</v>
      </c>
      <c r="Z684">
        <v>53.75</v>
      </c>
      <c r="AA684">
        <v>54.313400000000001</v>
      </c>
      <c r="AB684">
        <v>56.567</v>
      </c>
      <c r="AC684">
        <v>59.287999999999997</v>
      </c>
      <c r="AD684">
        <v>61.94</v>
      </c>
      <c r="AE684">
        <v>64.537000000000006</v>
      </c>
      <c r="AF684">
        <v>67.093999999999994</v>
      </c>
      <c r="AG684">
        <v>69.616</v>
      </c>
      <c r="AH684">
        <v>72.111999999999995</v>
      </c>
      <c r="AI684">
        <v>74.584000000000003</v>
      </c>
      <c r="AJ684">
        <v>77.034999999999997</v>
      </c>
      <c r="AK684">
        <v>79.461500000000001</v>
      </c>
      <c r="AL684">
        <v>81.888000000000005</v>
      </c>
    </row>
    <row r="685" spans="1:38" x14ac:dyDescent="0.3">
      <c r="A685">
        <v>5100</v>
      </c>
      <c r="B685">
        <v>265.14999999999998</v>
      </c>
      <c r="C685" t="s">
        <v>18</v>
      </c>
      <c r="D685">
        <v>1154.0999999999999</v>
      </c>
      <c r="E685">
        <v>2596.5</v>
      </c>
      <c r="F685" t="s">
        <v>21</v>
      </c>
      <c r="G685" t="s">
        <v>21</v>
      </c>
      <c r="H685" t="s">
        <v>21</v>
      </c>
      <c r="I685" t="s">
        <v>21</v>
      </c>
      <c r="J685" t="s">
        <v>21</v>
      </c>
      <c r="K685" t="s">
        <v>21</v>
      </c>
      <c r="L685" t="s">
        <v>21</v>
      </c>
      <c r="M685" t="s">
        <v>21</v>
      </c>
      <c r="N685" t="s">
        <v>21</v>
      </c>
      <c r="O685" t="s">
        <v>21</v>
      </c>
      <c r="P685" t="s">
        <v>21</v>
      </c>
      <c r="Q685">
        <v>2627.3</v>
      </c>
      <c r="R685">
        <v>2641.06</v>
      </c>
      <c r="S685">
        <v>2668.58</v>
      </c>
      <c r="T685">
        <v>2696.1</v>
      </c>
      <c r="U685">
        <v>2743.7799999999997</v>
      </c>
      <c r="V685">
        <v>2755.7</v>
      </c>
      <c r="W685">
        <v>2788.04</v>
      </c>
      <c r="X685">
        <v>2809.6</v>
      </c>
      <c r="Y685">
        <v>2829.7599999999998</v>
      </c>
      <c r="Z685">
        <v>2860</v>
      </c>
      <c r="AA685">
        <v>2869.6</v>
      </c>
      <c r="AB685">
        <v>2908</v>
      </c>
      <c r="AC685">
        <v>2954.5</v>
      </c>
      <c r="AD685">
        <v>3000.2</v>
      </c>
      <c r="AE685">
        <v>3045.4</v>
      </c>
      <c r="AF685">
        <v>3090.3</v>
      </c>
      <c r="AG685">
        <v>3135.3</v>
      </c>
      <c r="AH685">
        <v>3180.2</v>
      </c>
      <c r="AI685">
        <v>3225.4</v>
      </c>
      <c r="AJ685">
        <v>3270.8</v>
      </c>
      <c r="AK685">
        <v>3316.6000000000004</v>
      </c>
      <c r="AL685">
        <v>3362.4</v>
      </c>
    </row>
    <row r="686" spans="1:38" x14ac:dyDescent="0.3">
      <c r="A686">
        <v>5100</v>
      </c>
      <c r="B686">
        <v>265.14999999999998</v>
      </c>
      <c r="C686" t="s">
        <v>19</v>
      </c>
      <c r="D686">
        <v>1160.7</v>
      </c>
      <c r="E686">
        <v>2793.4</v>
      </c>
      <c r="F686" t="s">
        <v>21</v>
      </c>
      <c r="G686" t="s">
        <v>21</v>
      </c>
      <c r="H686" t="s">
        <v>21</v>
      </c>
      <c r="I686" t="s">
        <v>21</v>
      </c>
      <c r="J686" t="s">
        <v>21</v>
      </c>
      <c r="K686" t="s">
        <v>21</v>
      </c>
      <c r="L686" t="s">
        <v>21</v>
      </c>
      <c r="M686" t="s">
        <v>21</v>
      </c>
      <c r="N686" t="s">
        <v>21</v>
      </c>
      <c r="O686" t="s">
        <v>21</v>
      </c>
      <c r="P686" t="s">
        <v>21</v>
      </c>
      <c r="Q686">
        <v>2833.1</v>
      </c>
      <c r="R686">
        <v>2850.8199999999997</v>
      </c>
      <c r="S686">
        <v>2886.2599999999998</v>
      </c>
      <c r="T686">
        <v>2921.7</v>
      </c>
      <c r="U686">
        <v>2983.2999999999997</v>
      </c>
      <c r="V686">
        <v>2998.7</v>
      </c>
      <c r="W686">
        <v>3040.7</v>
      </c>
      <c r="X686">
        <v>3068.7</v>
      </c>
      <c r="Y686">
        <v>3094.8599999999997</v>
      </c>
      <c r="Z686">
        <v>3134.1</v>
      </c>
      <c r="AA686">
        <v>3146.58</v>
      </c>
      <c r="AB686">
        <v>3196.5</v>
      </c>
      <c r="AC686">
        <v>3256.9</v>
      </c>
      <c r="AD686">
        <v>3316.1</v>
      </c>
      <c r="AE686">
        <v>3374.5</v>
      </c>
      <c r="AF686">
        <v>3432.5</v>
      </c>
      <c r="AG686">
        <v>3490.3</v>
      </c>
      <c r="AH686">
        <v>3548</v>
      </c>
      <c r="AI686">
        <v>3605.8</v>
      </c>
      <c r="AJ686">
        <v>3663.7</v>
      </c>
      <c r="AK686">
        <v>3721.85</v>
      </c>
      <c r="AL686">
        <v>3780</v>
      </c>
    </row>
    <row r="687" spans="1:38" x14ac:dyDescent="0.3">
      <c r="A687">
        <v>5100</v>
      </c>
      <c r="B687">
        <v>265.14999999999998</v>
      </c>
      <c r="C687" t="s">
        <v>20</v>
      </c>
      <c r="D687">
        <v>2.9319000000000002</v>
      </c>
      <c r="E687">
        <v>5.9648000000000003</v>
      </c>
      <c r="F687" t="s">
        <v>21</v>
      </c>
      <c r="G687" t="s">
        <v>21</v>
      </c>
      <c r="H687" t="s">
        <v>21</v>
      </c>
      <c r="I687" t="s">
        <v>21</v>
      </c>
      <c r="J687" t="s">
        <v>21</v>
      </c>
      <c r="K687" t="s">
        <v>21</v>
      </c>
      <c r="L687" t="s">
        <v>21</v>
      </c>
      <c r="M687" t="s">
        <v>21</v>
      </c>
      <c r="N687" t="s">
        <v>21</v>
      </c>
      <c r="O687" t="s">
        <v>21</v>
      </c>
      <c r="P687" t="s">
        <v>21</v>
      </c>
      <c r="Q687">
        <v>6.0377999999999998</v>
      </c>
      <c r="R687">
        <v>6.0694400000000002</v>
      </c>
      <c r="S687">
        <v>6.1327199999999999</v>
      </c>
      <c r="T687">
        <v>6.1959999999999997</v>
      </c>
      <c r="U687">
        <v>6.3013599999999999</v>
      </c>
      <c r="V687">
        <v>6.3277000000000001</v>
      </c>
      <c r="W687">
        <v>6.3964600000000003</v>
      </c>
      <c r="X687">
        <v>6.4423000000000004</v>
      </c>
      <c r="Y687">
        <v>6.48346</v>
      </c>
      <c r="Z687">
        <v>6.5452000000000004</v>
      </c>
      <c r="AA687">
        <v>6.5640800000000006</v>
      </c>
      <c r="AB687">
        <v>6.6395999999999997</v>
      </c>
      <c r="AC687">
        <v>6.7278000000000002</v>
      </c>
      <c r="AD687">
        <v>6.8110999999999997</v>
      </c>
      <c r="AE687">
        <v>6.8905000000000003</v>
      </c>
      <c r="AF687">
        <v>6.9668000000000001</v>
      </c>
      <c r="AG687">
        <v>7.0403000000000002</v>
      </c>
      <c r="AH687">
        <v>7.1115000000000004</v>
      </c>
      <c r="AI687">
        <v>7.1806999999999999</v>
      </c>
      <c r="AJ687">
        <v>7.2478999999999996</v>
      </c>
      <c r="AK687">
        <v>7.3126999999999995</v>
      </c>
      <c r="AL687">
        <v>7.3775000000000004</v>
      </c>
    </row>
    <row r="688" spans="1:38" x14ac:dyDescent="0.3">
      <c r="A688">
        <v>5200</v>
      </c>
      <c r="B688">
        <v>266.37</v>
      </c>
      <c r="C688" t="s">
        <v>0</v>
      </c>
      <c r="D688">
        <v>1.292</v>
      </c>
      <c r="E688">
        <v>37.823999999999998</v>
      </c>
      <c r="F688" t="s">
        <v>21</v>
      </c>
      <c r="G688" t="s">
        <v>21</v>
      </c>
      <c r="H688" t="s">
        <v>21</v>
      </c>
      <c r="I688" t="s">
        <v>21</v>
      </c>
      <c r="J688" t="s">
        <v>21</v>
      </c>
      <c r="K688" t="s">
        <v>21</v>
      </c>
      <c r="L688" t="s">
        <v>21</v>
      </c>
      <c r="M688" t="s">
        <v>21</v>
      </c>
      <c r="N688" t="s">
        <v>21</v>
      </c>
      <c r="O688" t="s">
        <v>21</v>
      </c>
      <c r="P688" t="s">
        <v>21</v>
      </c>
      <c r="Q688">
        <v>39.33</v>
      </c>
      <c r="R688">
        <v>40.104199999999999</v>
      </c>
      <c r="S688">
        <v>41.6526</v>
      </c>
      <c r="T688">
        <v>43.201000000000001</v>
      </c>
      <c r="U688">
        <v>45.919399999999996</v>
      </c>
      <c r="V688">
        <v>46.598999999999997</v>
      </c>
      <c r="W688">
        <v>48.461399999999998</v>
      </c>
      <c r="X688">
        <v>49.703000000000003</v>
      </c>
      <c r="Y688">
        <v>50.867400000000004</v>
      </c>
      <c r="Z688">
        <v>52.613999999999997</v>
      </c>
      <c r="AA688">
        <v>53.169199999999996</v>
      </c>
      <c r="AB688">
        <v>55.39</v>
      </c>
      <c r="AC688">
        <v>58.07</v>
      </c>
      <c r="AD688">
        <v>60.679000000000002</v>
      </c>
      <c r="AE688">
        <v>63.234000000000002</v>
      </c>
      <c r="AF688">
        <v>65.747</v>
      </c>
      <c r="AG688">
        <v>68.227000000000004</v>
      </c>
      <c r="AH688">
        <v>70.679000000000002</v>
      </c>
      <c r="AI688">
        <v>73.108000000000004</v>
      </c>
      <c r="AJ688">
        <v>75.516000000000005</v>
      </c>
      <c r="AK688">
        <v>77.899000000000001</v>
      </c>
      <c r="AL688">
        <v>80.281999999999996</v>
      </c>
    </row>
    <row r="689" spans="1:38" x14ac:dyDescent="0.3">
      <c r="A689">
        <v>5200</v>
      </c>
      <c r="B689">
        <v>266.37</v>
      </c>
      <c r="C689" t="s">
        <v>18</v>
      </c>
      <c r="D689">
        <v>1160.0999999999999</v>
      </c>
      <c r="E689">
        <v>2595.9</v>
      </c>
      <c r="F689" t="s">
        <v>21</v>
      </c>
      <c r="G689" t="s">
        <v>21</v>
      </c>
      <c r="H689" t="s">
        <v>21</v>
      </c>
      <c r="I689" t="s">
        <v>21</v>
      </c>
      <c r="J689" t="s">
        <v>21</v>
      </c>
      <c r="K689" t="s">
        <v>21</v>
      </c>
      <c r="L689" t="s">
        <v>21</v>
      </c>
      <c r="M689" t="s">
        <v>21</v>
      </c>
      <c r="N689" t="s">
        <v>21</v>
      </c>
      <c r="O689" t="s">
        <v>21</v>
      </c>
      <c r="P689" t="s">
        <v>21</v>
      </c>
      <c r="Q689">
        <v>2623.3</v>
      </c>
      <c r="R689">
        <v>2637.26</v>
      </c>
      <c r="S689">
        <v>2665.1800000000003</v>
      </c>
      <c r="T689">
        <v>2693.1</v>
      </c>
      <c r="U689">
        <v>2741.34</v>
      </c>
      <c r="V689">
        <v>2753.4</v>
      </c>
      <c r="W689">
        <v>2786.04</v>
      </c>
      <c r="X689">
        <v>2807.8</v>
      </c>
      <c r="Y689">
        <v>2828.04</v>
      </c>
      <c r="Z689">
        <v>2858.4</v>
      </c>
      <c r="AA689">
        <v>2868.06</v>
      </c>
      <c r="AB689">
        <v>2906.7</v>
      </c>
      <c r="AC689">
        <v>2953.4</v>
      </c>
      <c r="AD689">
        <v>2999.2</v>
      </c>
      <c r="AE689">
        <v>3044.5</v>
      </c>
      <c r="AF689">
        <v>3089.5</v>
      </c>
      <c r="AG689">
        <v>3134.5</v>
      </c>
      <c r="AH689">
        <v>3179.5</v>
      </c>
      <c r="AI689">
        <v>3224.7</v>
      </c>
      <c r="AJ689">
        <v>3270.2</v>
      </c>
      <c r="AK689">
        <v>3316</v>
      </c>
      <c r="AL689">
        <v>3361.8</v>
      </c>
    </row>
    <row r="690" spans="1:38" x14ac:dyDescent="0.3">
      <c r="A690">
        <v>5200</v>
      </c>
      <c r="B690">
        <v>266.37</v>
      </c>
      <c r="C690" t="s">
        <v>19</v>
      </c>
      <c r="D690">
        <v>1166.8</v>
      </c>
      <c r="E690">
        <v>2792.6</v>
      </c>
      <c r="F690" t="s">
        <v>21</v>
      </c>
      <c r="G690" t="s">
        <v>21</v>
      </c>
      <c r="H690" t="s">
        <v>21</v>
      </c>
      <c r="I690" t="s">
        <v>21</v>
      </c>
      <c r="J690" t="s">
        <v>21</v>
      </c>
      <c r="K690" t="s">
        <v>21</v>
      </c>
      <c r="L690" t="s">
        <v>21</v>
      </c>
      <c r="M690" t="s">
        <v>21</v>
      </c>
      <c r="N690" t="s">
        <v>21</v>
      </c>
      <c r="O690" t="s">
        <v>21</v>
      </c>
      <c r="P690" t="s">
        <v>21</v>
      </c>
      <c r="Q690">
        <v>2827.8</v>
      </c>
      <c r="R690">
        <v>2845.8</v>
      </c>
      <c r="S690">
        <v>2881.8</v>
      </c>
      <c r="T690">
        <v>2917.8</v>
      </c>
      <c r="U690">
        <v>2980.12</v>
      </c>
      <c r="V690">
        <v>2995.7</v>
      </c>
      <c r="W690">
        <v>3038</v>
      </c>
      <c r="X690">
        <v>3066.2</v>
      </c>
      <c r="Y690">
        <v>3092.52</v>
      </c>
      <c r="Z690">
        <v>3132</v>
      </c>
      <c r="AA690">
        <v>3144.54</v>
      </c>
      <c r="AB690">
        <v>3194.7</v>
      </c>
      <c r="AC690">
        <v>3255.4</v>
      </c>
      <c r="AD690">
        <v>3314.7</v>
      </c>
      <c r="AE690">
        <v>3373.3</v>
      </c>
      <c r="AF690">
        <v>3431.4</v>
      </c>
      <c r="AG690">
        <v>3489.3</v>
      </c>
      <c r="AH690">
        <v>3547.1</v>
      </c>
      <c r="AI690">
        <v>3604.9</v>
      </c>
      <c r="AJ690">
        <v>3662.8</v>
      </c>
      <c r="AK690">
        <v>3721.05</v>
      </c>
      <c r="AL690">
        <v>3779.3</v>
      </c>
    </row>
    <row r="691" spans="1:38" x14ac:dyDescent="0.3">
      <c r="A691">
        <v>5200</v>
      </c>
      <c r="B691">
        <v>266.37</v>
      </c>
      <c r="C691" t="s">
        <v>20</v>
      </c>
      <c r="D691">
        <v>2.9430999999999998</v>
      </c>
      <c r="E691">
        <v>5.9561000000000002</v>
      </c>
      <c r="F691" t="s">
        <v>21</v>
      </c>
      <c r="G691" t="s">
        <v>21</v>
      </c>
      <c r="H691" t="s">
        <v>21</v>
      </c>
      <c r="I691" t="s">
        <v>21</v>
      </c>
      <c r="J691" t="s">
        <v>21</v>
      </c>
      <c r="K691" t="s">
        <v>21</v>
      </c>
      <c r="L691" t="s">
        <v>21</v>
      </c>
      <c r="M691" t="s">
        <v>21</v>
      </c>
      <c r="N691" t="s">
        <v>21</v>
      </c>
      <c r="O691" t="s">
        <v>21</v>
      </c>
      <c r="P691" t="s">
        <v>21</v>
      </c>
      <c r="Q691">
        <v>6.0209999999999999</v>
      </c>
      <c r="R691">
        <v>6.0530999999999997</v>
      </c>
      <c r="S691">
        <v>6.1173000000000002</v>
      </c>
      <c r="T691">
        <v>6.1814999999999998</v>
      </c>
      <c r="U691">
        <v>6.2880599999999998</v>
      </c>
      <c r="V691">
        <v>6.3147000000000002</v>
      </c>
      <c r="W691">
        <v>6.3840000000000003</v>
      </c>
      <c r="X691">
        <v>6.4302000000000001</v>
      </c>
      <c r="Y691">
        <v>6.4716399999999998</v>
      </c>
      <c r="Z691">
        <v>6.5338000000000003</v>
      </c>
      <c r="AA691">
        <v>6.5527800000000003</v>
      </c>
      <c r="AB691">
        <v>6.6287000000000003</v>
      </c>
      <c r="AC691">
        <v>6.7172000000000001</v>
      </c>
      <c r="AD691">
        <v>6.8007</v>
      </c>
      <c r="AE691">
        <v>6.8803000000000001</v>
      </c>
      <c r="AF691">
        <v>6.9566999999999997</v>
      </c>
      <c r="AG691">
        <v>7.0304000000000002</v>
      </c>
      <c r="AH691">
        <v>7.1017000000000001</v>
      </c>
      <c r="AI691">
        <v>7.1708999999999996</v>
      </c>
      <c r="AJ691">
        <v>7.2382</v>
      </c>
      <c r="AK691">
        <v>7.3030499999999998</v>
      </c>
      <c r="AL691">
        <v>7.3678999999999997</v>
      </c>
    </row>
    <row r="692" spans="1:38" x14ac:dyDescent="0.3">
      <c r="A692">
        <v>5300</v>
      </c>
      <c r="B692">
        <v>267.58</v>
      </c>
      <c r="C692" t="s">
        <v>0</v>
      </c>
      <c r="D692">
        <v>1.296</v>
      </c>
      <c r="E692">
        <v>37.066000000000003</v>
      </c>
      <c r="F692" t="s">
        <v>21</v>
      </c>
      <c r="G692" t="s">
        <v>21</v>
      </c>
      <c r="H692" t="s">
        <v>21</v>
      </c>
      <c r="I692" t="s">
        <v>21</v>
      </c>
      <c r="J692" t="s">
        <v>21</v>
      </c>
      <c r="K692" t="s">
        <v>21</v>
      </c>
      <c r="L692" t="s">
        <v>21</v>
      </c>
      <c r="M692" t="s">
        <v>21</v>
      </c>
      <c r="N692" t="s">
        <v>21</v>
      </c>
      <c r="O692" t="s">
        <v>21</v>
      </c>
      <c r="P692" t="s">
        <v>21</v>
      </c>
      <c r="Q692">
        <v>38.353999999999999</v>
      </c>
      <c r="R692">
        <v>39.125</v>
      </c>
      <c r="S692">
        <v>40.667000000000002</v>
      </c>
      <c r="T692">
        <v>42.209000000000003</v>
      </c>
      <c r="U692">
        <v>44.903399999999998</v>
      </c>
      <c r="V692">
        <v>45.576999999999998</v>
      </c>
      <c r="W692">
        <v>47.418999999999997</v>
      </c>
      <c r="X692">
        <v>48.646999999999998</v>
      </c>
      <c r="Y692">
        <v>49.796199999999999</v>
      </c>
      <c r="Z692">
        <v>51.52</v>
      </c>
      <c r="AA692">
        <v>52.067399999999999</v>
      </c>
      <c r="AB692">
        <v>54.256999999999998</v>
      </c>
      <c r="AC692">
        <v>56.896999999999998</v>
      </c>
      <c r="AD692">
        <v>59.466000000000001</v>
      </c>
      <c r="AE692">
        <v>61.98</v>
      </c>
      <c r="AF692">
        <v>64.451999999999998</v>
      </c>
      <c r="AG692">
        <v>66.89</v>
      </c>
      <c r="AH692">
        <v>69.3</v>
      </c>
      <c r="AI692">
        <v>71.686999999999998</v>
      </c>
      <c r="AJ692">
        <v>74.054000000000002</v>
      </c>
      <c r="AK692">
        <v>76.39500000000001</v>
      </c>
      <c r="AL692">
        <v>78.736000000000004</v>
      </c>
    </row>
    <row r="693" spans="1:38" x14ac:dyDescent="0.3">
      <c r="A693">
        <v>5300</v>
      </c>
      <c r="B693">
        <v>267.58</v>
      </c>
      <c r="C693" t="s">
        <v>18</v>
      </c>
      <c r="D693">
        <v>1166.0999999999999</v>
      </c>
      <c r="E693">
        <v>2595.3000000000002</v>
      </c>
      <c r="F693" t="s">
        <v>21</v>
      </c>
      <c r="G693" t="s">
        <v>21</v>
      </c>
      <c r="H693" t="s">
        <v>21</v>
      </c>
      <c r="I693" t="s">
        <v>21</v>
      </c>
      <c r="J693" t="s">
        <v>21</v>
      </c>
      <c r="K693" t="s">
        <v>21</v>
      </c>
      <c r="L693" t="s">
        <v>21</v>
      </c>
      <c r="M693" t="s">
        <v>21</v>
      </c>
      <c r="N693" t="s">
        <v>21</v>
      </c>
      <c r="O693" t="s">
        <v>21</v>
      </c>
      <c r="P693" t="s">
        <v>21</v>
      </c>
      <c r="Q693">
        <v>2619.1999999999998</v>
      </c>
      <c r="R693">
        <v>2633.3799999999997</v>
      </c>
      <c r="S693">
        <v>2661.74</v>
      </c>
      <c r="T693">
        <v>2690.1</v>
      </c>
      <c r="U693">
        <v>2738.82</v>
      </c>
      <c r="V693">
        <v>2751</v>
      </c>
      <c r="W693">
        <v>2783.94</v>
      </c>
      <c r="X693">
        <v>2805.9</v>
      </c>
      <c r="Y693">
        <v>2826.3</v>
      </c>
      <c r="Z693">
        <v>2856.9</v>
      </c>
      <c r="AA693">
        <v>2866.58</v>
      </c>
      <c r="AB693">
        <v>2905.3</v>
      </c>
      <c r="AC693">
        <v>2952.2</v>
      </c>
      <c r="AD693">
        <v>2998.2</v>
      </c>
      <c r="AE693">
        <v>3043.5</v>
      </c>
      <c r="AF693">
        <v>3088.6</v>
      </c>
      <c r="AG693">
        <v>3133.7</v>
      </c>
      <c r="AH693">
        <v>3178.8</v>
      </c>
      <c r="AI693">
        <v>3224.1</v>
      </c>
      <c r="AJ693">
        <v>3269.5</v>
      </c>
      <c r="AK693">
        <v>3315.4</v>
      </c>
      <c r="AL693">
        <v>3361.3</v>
      </c>
    </row>
    <row r="694" spans="1:38" x14ac:dyDescent="0.3">
      <c r="A694">
        <v>5300</v>
      </c>
      <c r="B694">
        <v>267.58</v>
      </c>
      <c r="C694" t="s">
        <v>19</v>
      </c>
      <c r="D694">
        <v>1172.9000000000001</v>
      </c>
      <c r="E694">
        <v>2791.7</v>
      </c>
      <c r="F694" t="s">
        <v>21</v>
      </c>
      <c r="G694" t="s">
        <v>21</v>
      </c>
      <c r="H694" t="s">
        <v>21</v>
      </c>
      <c r="I694" t="s">
        <v>21</v>
      </c>
      <c r="J694" t="s">
        <v>21</v>
      </c>
      <c r="K694" t="s">
        <v>21</v>
      </c>
      <c r="L694" t="s">
        <v>21</v>
      </c>
      <c r="M694" t="s">
        <v>21</v>
      </c>
      <c r="N694" t="s">
        <v>21</v>
      </c>
      <c r="O694" t="s">
        <v>21</v>
      </c>
      <c r="P694" t="s">
        <v>21</v>
      </c>
      <c r="Q694">
        <v>2822.5</v>
      </c>
      <c r="R694">
        <v>2840.76</v>
      </c>
      <c r="S694">
        <v>2877.28</v>
      </c>
      <c r="T694">
        <v>2913.8</v>
      </c>
      <c r="U694">
        <v>2976.84</v>
      </c>
      <c r="V694">
        <v>2992.6</v>
      </c>
      <c r="W694">
        <v>3035.2599999999998</v>
      </c>
      <c r="X694">
        <v>3063.7</v>
      </c>
      <c r="Y694">
        <v>3090.18</v>
      </c>
      <c r="Z694">
        <v>3129.9</v>
      </c>
      <c r="AA694">
        <v>3142.5</v>
      </c>
      <c r="AB694">
        <v>3192.9</v>
      </c>
      <c r="AC694">
        <v>3253.8</v>
      </c>
      <c r="AD694">
        <v>3313.3</v>
      </c>
      <c r="AE694">
        <v>3372</v>
      </c>
      <c r="AF694">
        <v>3430.2</v>
      </c>
      <c r="AG694">
        <v>3488.2</v>
      </c>
      <c r="AH694">
        <v>3546.1</v>
      </c>
      <c r="AI694">
        <v>3604</v>
      </c>
      <c r="AJ694">
        <v>3662</v>
      </c>
      <c r="AK694">
        <v>3720.3</v>
      </c>
      <c r="AL694">
        <v>3778.6</v>
      </c>
    </row>
    <row r="695" spans="1:38" x14ac:dyDescent="0.3">
      <c r="A695">
        <v>5300</v>
      </c>
      <c r="B695">
        <v>267.58</v>
      </c>
      <c r="C695" t="s">
        <v>20</v>
      </c>
      <c r="D695">
        <v>2.9540999999999999</v>
      </c>
      <c r="E695">
        <v>5.9476000000000004</v>
      </c>
      <c r="F695" t="s">
        <v>21</v>
      </c>
      <c r="G695" t="s">
        <v>21</v>
      </c>
      <c r="H695" t="s">
        <v>21</v>
      </c>
      <c r="I695" t="s">
        <v>21</v>
      </c>
      <c r="J695" t="s">
        <v>21</v>
      </c>
      <c r="K695" t="s">
        <v>21</v>
      </c>
      <c r="L695" t="s">
        <v>21</v>
      </c>
      <c r="M695" t="s">
        <v>21</v>
      </c>
      <c r="N695" t="s">
        <v>21</v>
      </c>
      <c r="O695" t="s">
        <v>21</v>
      </c>
      <c r="P695" t="s">
        <v>21</v>
      </c>
      <c r="Q695">
        <v>6.0041000000000002</v>
      </c>
      <c r="R695">
        <v>6.0367199999999999</v>
      </c>
      <c r="S695">
        <v>6.1019600000000001</v>
      </c>
      <c r="T695">
        <v>6.1672000000000002</v>
      </c>
      <c r="U695">
        <v>6.2748800000000005</v>
      </c>
      <c r="V695">
        <v>6.3018000000000001</v>
      </c>
      <c r="W695">
        <v>6.3717000000000006</v>
      </c>
      <c r="X695">
        <v>6.4183000000000003</v>
      </c>
      <c r="Y695">
        <v>6.4599799999999998</v>
      </c>
      <c r="Z695">
        <v>6.5225</v>
      </c>
      <c r="AA695">
        <v>6.5415799999999997</v>
      </c>
      <c r="AB695">
        <v>6.6178999999999997</v>
      </c>
      <c r="AC695">
        <v>6.7066999999999997</v>
      </c>
      <c r="AD695">
        <v>6.7904999999999998</v>
      </c>
      <c r="AE695">
        <v>6.8703000000000003</v>
      </c>
      <c r="AF695">
        <v>6.9467999999999996</v>
      </c>
      <c r="AG695">
        <v>7.0206</v>
      </c>
      <c r="AH695">
        <v>7.0919999999999996</v>
      </c>
      <c r="AI695">
        <v>7.1612999999999998</v>
      </c>
      <c r="AJ695">
        <v>7.2286999999999999</v>
      </c>
      <c r="AK695">
        <v>7.2935999999999996</v>
      </c>
      <c r="AL695">
        <v>7.3585000000000003</v>
      </c>
    </row>
    <row r="696" spans="1:38" x14ac:dyDescent="0.3">
      <c r="A696">
        <v>5400</v>
      </c>
      <c r="B696">
        <v>268.76</v>
      </c>
      <c r="C696" t="s">
        <v>0</v>
      </c>
      <c r="D696">
        <v>1.2989999999999999</v>
      </c>
      <c r="E696">
        <v>36.334000000000003</v>
      </c>
      <c r="F696" t="s">
        <v>21</v>
      </c>
      <c r="G696" t="s">
        <v>21</v>
      </c>
      <c r="H696" t="s">
        <v>21</v>
      </c>
      <c r="I696" t="s">
        <v>21</v>
      </c>
      <c r="J696" t="s">
        <v>21</v>
      </c>
      <c r="K696" t="s">
        <v>21</v>
      </c>
      <c r="L696" t="s">
        <v>21</v>
      </c>
      <c r="M696" t="s">
        <v>21</v>
      </c>
      <c r="N696" t="s">
        <v>21</v>
      </c>
      <c r="O696" t="s">
        <v>21</v>
      </c>
      <c r="P696" t="s">
        <v>21</v>
      </c>
      <c r="Q696">
        <v>37.411000000000001</v>
      </c>
      <c r="R696">
        <v>38.179000000000002</v>
      </c>
      <c r="S696">
        <v>39.715000000000003</v>
      </c>
      <c r="T696">
        <v>41.250999999999998</v>
      </c>
      <c r="U696">
        <v>43.923000000000002</v>
      </c>
      <c r="V696">
        <v>44.591000000000001</v>
      </c>
      <c r="W696">
        <v>46.413200000000003</v>
      </c>
      <c r="X696">
        <v>47.628</v>
      </c>
      <c r="Y696">
        <v>48.763199999999998</v>
      </c>
      <c r="Z696">
        <v>50.466000000000001</v>
      </c>
      <c r="AA696">
        <v>51.006</v>
      </c>
      <c r="AB696">
        <v>53.165999999999997</v>
      </c>
      <c r="AC696">
        <v>55.768000000000001</v>
      </c>
      <c r="AD696">
        <v>58.296999999999997</v>
      </c>
      <c r="AE696">
        <v>60.771999999999998</v>
      </c>
      <c r="AF696">
        <v>63.204000000000001</v>
      </c>
      <c r="AG696">
        <v>65.602999999999994</v>
      </c>
      <c r="AH696">
        <v>67.972999999999999</v>
      </c>
      <c r="AI696">
        <v>70.319999999999993</v>
      </c>
      <c r="AJ696">
        <v>72.646000000000001</v>
      </c>
      <c r="AK696">
        <v>74.947000000000003</v>
      </c>
      <c r="AL696">
        <v>77.248000000000005</v>
      </c>
    </row>
    <row r="697" spans="1:38" x14ac:dyDescent="0.3">
      <c r="A697">
        <v>5400</v>
      </c>
      <c r="B697">
        <v>268.76</v>
      </c>
      <c r="C697" t="s">
        <v>18</v>
      </c>
      <c r="D697">
        <v>1171.9000000000001</v>
      </c>
      <c r="E697">
        <v>2594.6</v>
      </c>
      <c r="F697" t="s">
        <v>21</v>
      </c>
      <c r="G697" t="s">
        <v>21</v>
      </c>
      <c r="H697" t="s">
        <v>21</v>
      </c>
      <c r="I697" t="s">
        <v>21</v>
      </c>
      <c r="J697" t="s">
        <v>21</v>
      </c>
      <c r="K697" t="s">
        <v>21</v>
      </c>
      <c r="L697" t="s">
        <v>21</v>
      </c>
      <c r="M697" t="s">
        <v>21</v>
      </c>
      <c r="N697" t="s">
        <v>21</v>
      </c>
      <c r="O697" t="s">
        <v>21</v>
      </c>
      <c r="P697" t="s">
        <v>21</v>
      </c>
      <c r="Q697">
        <v>2615</v>
      </c>
      <c r="R697">
        <v>2629.42</v>
      </c>
      <c r="S697">
        <v>2658.26</v>
      </c>
      <c r="T697">
        <v>2687.1</v>
      </c>
      <c r="U697">
        <v>2736.3799999999997</v>
      </c>
      <c r="V697">
        <v>2748.7</v>
      </c>
      <c r="W697">
        <v>2781.88</v>
      </c>
      <c r="X697">
        <v>2804</v>
      </c>
      <c r="Y697">
        <v>2824.52</v>
      </c>
      <c r="Z697">
        <v>2855.3</v>
      </c>
      <c r="AA697">
        <v>2865.04</v>
      </c>
      <c r="AB697">
        <v>2904</v>
      </c>
      <c r="AC697">
        <v>2951.1</v>
      </c>
      <c r="AD697">
        <v>2997.1</v>
      </c>
      <c r="AE697">
        <v>3042.6</v>
      </c>
      <c r="AF697">
        <v>3087.8</v>
      </c>
      <c r="AG697">
        <v>3132.9</v>
      </c>
      <c r="AH697">
        <v>3178.1</v>
      </c>
      <c r="AI697">
        <v>3223.4</v>
      </c>
      <c r="AJ697">
        <v>3268.9</v>
      </c>
      <c r="AK697">
        <v>3314.8</v>
      </c>
      <c r="AL697">
        <v>3360.7</v>
      </c>
    </row>
    <row r="698" spans="1:38" x14ac:dyDescent="0.3">
      <c r="A698">
        <v>5400</v>
      </c>
      <c r="B698">
        <v>268.76</v>
      </c>
      <c r="C698" t="s">
        <v>19</v>
      </c>
      <c r="D698">
        <v>1178.9000000000001</v>
      </c>
      <c r="E698">
        <v>2790.8</v>
      </c>
      <c r="F698" t="s">
        <v>21</v>
      </c>
      <c r="G698" t="s">
        <v>21</v>
      </c>
      <c r="H698" t="s">
        <v>21</v>
      </c>
      <c r="I698" t="s">
        <v>21</v>
      </c>
      <c r="J698" t="s">
        <v>21</v>
      </c>
      <c r="K698" t="s">
        <v>21</v>
      </c>
      <c r="L698" t="s">
        <v>21</v>
      </c>
      <c r="M698" t="s">
        <v>21</v>
      </c>
      <c r="N698" t="s">
        <v>21</v>
      </c>
      <c r="O698" t="s">
        <v>21</v>
      </c>
      <c r="P698" t="s">
        <v>21</v>
      </c>
      <c r="Q698">
        <v>2817</v>
      </c>
      <c r="R698">
        <v>2835.56</v>
      </c>
      <c r="S698">
        <v>2872.6800000000003</v>
      </c>
      <c r="T698">
        <v>2909.8</v>
      </c>
      <c r="U698">
        <v>2973.56</v>
      </c>
      <c r="V698">
        <v>2989.5</v>
      </c>
      <c r="W698">
        <v>3032.52</v>
      </c>
      <c r="X698">
        <v>3061.2</v>
      </c>
      <c r="Y698">
        <v>3087.84</v>
      </c>
      <c r="Z698">
        <v>3127.8</v>
      </c>
      <c r="AA698">
        <v>3140.46</v>
      </c>
      <c r="AB698">
        <v>3191.1</v>
      </c>
      <c r="AC698">
        <v>3252.2</v>
      </c>
      <c r="AD698">
        <v>3311.9</v>
      </c>
      <c r="AE698">
        <v>3370.8</v>
      </c>
      <c r="AF698">
        <v>3429.1</v>
      </c>
      <c r="AG698">
        <v>3487.2</v>
      </c>
      <c r="AH698">
        <v>3545.1</v>
      </c>
      <c r="AI698">
        <v>3603.1</v>
      </c>
      <c r="AJ698">
        <v>3661.2</v>
      </c>
      <c r="AK698">
        <v>3719.5</v>
      </c>
      <c r="AL698">
        <v>3777.8</v>
      </c>
    </row>
    <row r="699" spans="1:38" x14ac:dyDescent="0.3">
      <c r="A699">
        <v>5400</v>
      </c>
      <c r="B699">
        <v>268.76</v>
      </c>
      <c r="C699" t="s">
        <v>20</v>
      </c>
      <c r="D699">
        <v>2.9649999999999999</v>
      </c>
      <c r="E699">
        <v>5.9391999999999996</v>
      </c>
      <c r="F699" t="s">
        <v>21</v>
      </c>
      <c r="G699" t="s">
        <v>21</v>
      </c>
      <c r="H699" t="s">
        <v>21</v>
      </c>
      <c r="I699" t="s">
        <v>21</v>
      </c>
      <c r="J699" t="s">
        <v>21</v>
      </c>
      <c r="K699" t="s">
        <v>21</v>
      </c>
      <c r="L699" t="s">
        <v>21</v>
      </c>
      <c r="M699" t="s">
        <v>21</v>
      </c>
      <c r="N699" t="s">
        <v>21</v>
      </c>
      <c r="O699" t="s">
        <v>21</v>
      </c>
      <c r="P699" t="s">
        <v>21</v>
      </c>
      <c r="Q699">
        <v>5.9873000000000003</v>
      </c>
      <c r="R699">
        <v>6.0204399999999998</v>
      </c>
      <c r="S699">
        <v>6.0867199999999997</v>
      </c>
      <c r="T699">
        <v>6.1529999999999996</v>
      </c>
      <c r="U699">
        <v>6.2618800000000006</v>
      </c>
      <c r="V699">
        <v>6.2891000000000004</v>
      </c>
      <c r="W699">
        <v>6.3596000000000004</v>
      </c>
      <c r="X699">
        <v>6.4066000000000001</v>
      </c>
      <c r="Y699">
        <v>6.4485200000000003</v>
      </c>
      <c r="Z699">
        <v>6.5114000000000001</v>
      </c>
      <c r="AA699">
        <v>6.5305600000000004</v>
      </c>
      <c r="AB699">
        <v>6.6071999999999997</v>
      </c>
      <c r="AC699">
        <v>6.6962999999999999</v>
      </c>
      <c r="AD699">
        <v>6.7804000000000002</v>
      </c>
      <c r="AE699">
        <v>6.8604000000000003</v>
      </c>
      <c r="AF699">
        <v>6.9371</v>
      </c>
      <c r="AG699">
        <v>7.0110000000000001</v>
      </c>
      <c r="AH699">
        <v>7.0824999999999996</v>
      </c>
      <c r="AI699">
        <v>7.1519000000000004</v>
      </c>
      <c r="AJ699">
        <v>7.2194000000000003</v>
      </c>
      <c r="AK699">
        <v>7.2843499999999999</v>
      </c>
      <c r="AL699">
        <v>7.3493000000000004</v>
      </c>
    </row>
    <row r="700" spans="1:38" x14ac:dyDescent="0.3">
      <c r="A700">
        <v>5500</v>
      </c>
      <c r="B700">
        <v>269.93</v>
      </c>
      <c r="C700" t="s">
        <v>0</v>
      </c>
      <c r="D700">
        <v>1.302</v>
      </c>
      <c r="E700">
        <v>35.628</v>
      </c>
      <c r="F700" t="s">
        <v>21</v>
      </c>
      <c r="G700" t="s">
        <v>21</v>
      </c>
      <c r="H700" t="s">
        <v>21</v>
      </c>
      <c r="I700" t="s">
        <v>21</v>
      </c>
      <c r="J700" t="s">
        <v>21</v>
      </c>
      <c r="K700" t="s">
        <v>21</v>
      </c>
      <c r="L700" t="s">
        <v>21</v>
      </c>
      <c r="M700" t="s">
        <v>21</v>
      </c>
      <c r="N700" t="s">
        <v>21</v>
      </c>
      <c r="O700" t="s">
        <v>21</v>
      </c>
      <c r="P700" t="s">
        <v>21</v>
      </c>
      <c r="Q700">
        <v>36.499000000000002</v>
      </c>
      <c r="R700">
        <v>37.264600000000002</v>
      </c>
      <c r="S700">
        <v>38.7958</v>
      </c>
      <c r="T700">
        <v>40.326999999999998</v>
      </c>
      <c r="U700">
        <v>42.978200000000001</v>
      </c>
      <c r="V700">
        <v>43.640999999999998</v>
      </c>
      <c r="W700">
        <v>45.444600000000001</v>
      </c>
      <c r="X700">
        <v>46.646999999999998</v>
      </c>
      <c r="Y700">
        <v>47.7682</v>
      </c>
      <c r="Z700">
        <v>49.45</v>
      </c>
      <c r="AA700">
        <v>49.983000000000004</v>
      </c>
      <c r="AB700">
        <v>52.115000000000002</v>
      </c>
      <c r="AC700">
        <v>54.679000000000002</v>
      </c>
      <c r="AD700">
        <v>57.170999999999999</v>
      </c>
      <c r="AE700">
        <v>59.607999999999997</v>
      </c>
      <c r="AF700">
        <v>62.002000000000002</v>
      </c>
      <c r="AG700">
        <v>64.361999999999995</v>
      </c>
      <c r="AH700">
        <v>66.694000000000003</v>
      </c>
      <c r="AI700">
        <v>69.001999999999995</v>
      </c>
      <c r="AJ700">
        <v>71.289000000000001</v>
      </c>
      <c r="AK700">
        <v>73.551500000000004</v>
      </c>
      <c r="AL700">
        <v>75.813999999999993</v>
      </c>
    </row>
    <row r="701" spans="1:38" x14ac:dyDescent="0.3">
      <c r="A701">
        <v>5500</v>
      </c>
      <c r="B701">
        <v>269.93</v>
      </c>
      <c r="C701" t="s">
        <v>18</v>
      </c>
      <c r="D701">
        <v>1177.7</v>
      </c>
      <c r="E701">
        <v>2594</v>
      </c>
      <c r="F701" t="s">
        <v>21</v>
      </c>
      <c r="G701" t="s">
        <v>21</v>
      </c>
      <c r="H701" t="s">
        <v>21</v>
      </c>
      <c r="I701" t="s">
        <v>21</v>
      </c>
      <c r="J701" t="s">
        <v>21</v>
      </c>
      <c r="K701" t="s">
        <v>21</v>
      </c>
      <c r="L701" t="s">
        <v>21</v>
      </c>
      <c r="M701" t="s">
        <v>21</v>
      </c>
      <c r="N701" t="s">
        <v>21</v>
      </c>
      <c r="O701" t="s">
        <v>21</v>
      </c>
      <c r="P701" t="s">
        <v>21</v>
      </c>
      <c r="Q701">
        <v>2610.8000000000002</v>
      </c>
      <c r="R701">
        <v>2625.44</v>
      </c>
      <c r="S701">
        <v>2654.7200000000003</v>
      </c>
      <c r="T701">
        <v>2684</v>
      </c>
      <c r="U701">
        <v>2733.84</v>
      </c>
      <c r="V701">
        <v>2746.3</v>
      </c>
      <c r="W701">
        <v>2779.78</v>
      </c>
      <c r="X701">
        <v>2802.1</v>
      </c>
      <c r="Y701">
        <v>2822.74</v>
      </c>
      <c r="Z701">
        <v>2853.7</v>
      </c>
      <c r="AA701">
        <v>2863.5</v>
      </c>
      <c r="AB701">
        <v>2902.7</v>
      </c>
      <c r="AC701">
        <v>2949.9</v>
      </c>
      <c r="AD701">
        <v>2996.1</v>
      </c>
      <c r="AE701">
        <v>3041.7</v>
      </c>
      <c r="AF701">
        <v>3086.9</v>
      </c>
      <c r="AG701">
        <v>3132.1</v>
      </c>
      <c r="AH701">
        <v>3177.3</v>
      </c>
      <c r="AI701">
        <v>3222.7</v>
      </c>
      <c r="AJ701">
        <v>3268.3</v>
      </c>
      <c r="AK701">
        <v>3314.25</v>
      </c>
      <c r="AL701">
        <v>3360.2</v>
      </c>
    </row>
    <row r="702" spans="1:38" x14ac:dyDescent="0.3">
      <c r="A702">
        <v>5500</v>
      </c>
      <c r="B702">
        <v>269.93</v>
      </c>
      <c r="C702" t="s">
        <v>19</v>
      </c>
      <c r="D702">
        <v>1184.9000000000001</v>
      </c>
      <c r="E702">
        <v>2789.9</v>
      </c>
      <c r="F702" t="s">
        <v>21</v>
      </c>
      <c r="G702" t="s">
        <v>21</v>
      </c>
      <c r="H702" t="s">
        <v>21</v>
      </c>
      <c r="I702" t="s">
        <v>21</v>
      </c>
      <c r="J702" t="s">
        <v>21</v>
      </c>
      <c r="K702" t="s">
        <v>21</v>
      </c>
      <c r="L702" t="s">
        <v>21</v>
      </c>
      <c r="M702" t="s">
        <v>21</v>
      </c>
      <c r="N702" t="s">
        <v>21</v>
      </c>
      <c r="O702" t="s">
        <v>21</v>
      </c>
      <c r="P702" t="s">
        <v>21</v>
      </c>
      <c r="Q702">
        <v>2811.5</v>
      </c>
      <c r="R702">
        <v>2830.36</v>
      </c>
      <c r="S702">
        <v>2868.08</v>
      </c>
      <c r="T702">
        <v>2905.8</v>
      </c>
      <c r="U702">
        <v>2970.28</v>
      </c>
      <c r="V702">
        <v>2986.4</v>
      </c>
      <c r="W702">
        <v>3029.7799999999997</v>
      </c>
      <c r="X702">
        <v>3058.7</v>
      </c>
      <c r="Y702">
        <v>3085.5</v>
      </c>
      <c r="Z702">
        <v>3125.7</v>
      </c>
      <c r="AA702">
        <v>3138.42</v>
      </c>
      <c r="AB702">
        <v>3189.3</v>
      </c>
      <c r="AC702">
        <v>3250.6</v>
      </c>
      <c r="AD702">
        <v>3310.5</v>
      </c>
      <c r="AE702">
        <v>3369.5</v>
      </c>
      <c r="AF702">
        <v>3427.9</v>
      </c>
      <c r="AG702">
        <v>3486.1</v>
      </c>
      <c r="AH702">
        <v>3544.2</v>
      </c>
      <c r="AI702">
        <v>3602.2</v>
      </c>
      <c r="AJ702">
        <v>3660.4</v>
      </c>
      <c r="AK702">
        <v>3718.75</v>
      </c>
      <c r="AL702">
        <v>3777.1</v>
      </c>
    </row>
    <row r="703" spans="1:38" x14ac:dyDescent="0.3">
      <c r="A703">
        <v>5500</v>
      </c>
      <c r="B703">
        <v>269.93</v>
      </c>
      <c r="C703" t="s">
        <v>20</v>
      </c>
      <c r="D703">
        <v>2.9756999999999998</v>
      </c>
      <c r="E703">
        <v>5.9309000000000003</v>
      </c>
      <c r="F703" t="s">
        <v>21</v>
      </c>
      <c r="G703" t="s">
        <v>21</v>
      </c>
      <c r="H703" t="s">
        <v>21</v>
      </c>
      <c r="I703" t="s">
        <v>21</v>
      </c>
      <c r="J703" t="s">
        <v>21</v>
      </c>
      <c r="K703" t="s">
        <v>21</v>
      </c>
      <c r="L703" t="s">
        <v>21</v>
      </c>
      <c r="M703" t="s">
        <v>21</v>
      </c>
      <c r="N703" t="s">
        <v>21</v>
      </c>
      <c r="O703" t="s">
        <v>21</v>
      </c>
      <c r="P703" t="s">
        <v>21</v>
      </c>
      <c r="Q703">
        <v>5.9705000000000004</v>
      </c>
      <c r="R703">
        <v>6.0041600000000006</v>
      </c>
      <c r="S703">
        <v>6.0714800000000002</v>
      </c>
      <c r="T703">
        <v>6.1387999999999998</v>
      </c>
      <c r="U703">
        <v>6.2489600000000003</v>
      </c>
      <c r="V703">
        <v>6.2765000000000004</v>
      </c>
      <c r="W703">
        <v>6.3475400000000004</v>
      </c>
      <c r="X703">
        <v>6.3948999999999998</v>
      </c>
      <c r="Y703">
        <v>6.4371</v>
      </c>
      <c r="Z703">
        <v>6.5004</v>
      </c>
      <c r="AA703">
        <v>6.51966</v>
      </c>
      <c r="AB703">
        <v>6.5967000000000002</v>
      </c>
      <c r="AC703">
        <v>6.6862000000000004</v>
      </c>
      <c r="AD703">
        <v>6.7705000000000002</v>
      </c>
      <c r="AE703">
        <v>6.8506999999999998</v>
      </c>
      <c r="AF703">
        <v>6.9275000000000002</v>
      </c>
      <c r="AG703">
        <v>7.0015000000000001</v>
      </c>
      <c r="AH703">
        <v>7.0731000000000002</v>
      </c>
      <c r="AI703">
        <v>7.1425999999999998</v>
      </c>
      <c r="AJ703">
        <v>7.2102000000000004</v>
      </c>
      <c r="AK703">
        <v>7.2751999999999999</v>
      </c>
      <c r="AL703">
        <v>7.3402000000000003</v>
      </c>
    </row>
    <row r="704" spans="1:38" x14ac:dyDescent="0.3">
      <c r="A704">
        <v>5600</v>
      </c>
      <c r="B704">
        <v>271.08999999999997</v>
      </c>
      <c r="C704" t="s">
        <v>0</v>
      </c>
      <c r="D704">
        <v>1.306</v>
      </c>
      <c r="E704">
        <v>34.945999999999998</v>
      </c>
      <c r="F704" t="s">
        <v>21</v>
      </c>
      <c r="G704" t="s">
        <v>21</v>
      </c>
      <c r="H704" t="s">
        <v>21</v>
      </c>
      <c r="I704" t="s">
        <v>21</v>
      </c>
      <c r="J704" t="s">
        <v>21</v>
      </c>
      <c r="K704" t="s">
        <v>21</v>
      </c>
      <c r="L704" t="s">
        <v>21</v>
      </c>
      <c r="M704" t="s">
        <v>21</v>
      </c>
      <c r="N704" t="s">
        <v>21</v>
      </c>
      <c r="O704" t="s">
        <v>21</v>
      </c>
      <c r="P704" t="s">
        <v>21</v>
      </c>
      <c r="Q704">
        <v>35.616999999999997</v>
      </c>
      <c r="R704">
        <v>36.380399999999995</v>
      </c>
      <c r="S704">
        <v>37.907199999999996</v>
      </c>
      <c r="T704">
        <v>39.433999999999997</v>
      </c>
      <c r="U704">
        <v>42.065999999999995</v>
      </c>
      <c r="V704">
        <v>42.723999999999997</v>
      </c>
      <c r="W704">
        <v>44.509599999999999</v>
      </c>
      <c r="X704">
        <v>45.7</v>
      </c>
      <c r="Y704">
        <v>46.808</v>
      </c>
      <c r="Z704">
        <v>48.47</v>
      </c>
      <c r="AA704">
        <v>48.996000000000002</v>
      </c>
      <c r="AB704">
        <v>51.1</v>
      </c>
      <c r="AC704">
        <v>53.63</v>
      </c>
      <c r="AD704">
        <v>56.085000000000001</v>
      </c>
      <c r="AE704">
        <v>58.485999999999997</v>
      </c>
      <c r="AF704">
        <v>60.843000000000004</v>
      </c>
      <c r="AG704">
        <v>63.164999999999999</v>
      </c>
      <c r="AH704">
        <v>65.459999999999994</v>
      </c>
      <c r="AI704">
        <v>67.730999999999995</v>
      </c>
      <c r="AJ704">
        <v>69.980999999999995</v>
      </c>
      <c r="AK704">
        <v>72.205999999999989</v>
      </c>
      <c r="AL704">
        <v>74.430999999999997</v>
      </c>
    </row>
    <row r="705" spans="1:38" x14ac:dyDescent="0.3">
      <c r="A705">
        <v>5600</v>
      </c>
      <c r="B705">
        <v>271.08999999999997</v>
      </c>
      <c r="C705" t="s">
        <v>18</v>
      </c>
      <c r="D705">
        <v>1183.5</v>
      </c>
      <c r="E705">
        <v>2593.3000000000002</v>
      </c>
      <c r="F705" t="s">
        <v>21</v>
      </c>
      <c r="G705" t="s">
        <v>21</v>
      </c>
      <c r="H705" t="s">
        <v>21</v>
      </c>
      <c r="I705" t="s">
        <v>21</v>
      </c>
      <c r="J705" t="s">
        <v>21</v>
      </c>
      <c r="K705" t="s">
        <v>21</v>
      </c>
      <c r="L705" t="s">
        <v>21</v>
      </c>
      <c r="M705" t="s">
        <v>21</v>
      </c>
      <c r="N705" t="s">
        <v>21</v>
      </c>
      <c r="O705" t="s">
        <v>21</v>
      </c>
      <c r="P705" t="s">
        <v>21</v>
      </c>
      <c r="Q705">
        <v>2606.5</v>
      </c>
      <c r="R705">
        <v>2621.38</v>
      </c>
      <c r="S705">
        <v>2651.1400000000003</v>
      </c>
      <c r="T705">
        <v>2680.9</v>
      </c>
      <c r="U705">
        <v>2731.38</v>
      </c>
      <c r="V705">
        <v>2744</v>
      </c>
      <c r="W705">
        <v>2777.72</v>
      </c>
      <c r="X705">
        <v>2800.2</v>
      </c>
      <c r="Y705">
        <v>2820.96</v>
      </c>
      <c r="Z705">
        <v>2852.1</v>
      </c>
      <c r="AA705">
        <v>2861.94</v>
      </c>
      <c r="AB705">
        <v>2901.3</v>
      </c>
      <c r="AC705">
        <v>2948.7</v>
      </c>
      <c r="AD705">
        <v>2995</v>
      </c>
      <c r="AE705">
        <v>3040.7</v>
      </c>
      <c r="AF705">
        <v>3086.1</v>
      </c>
      <c r="AG705">
        <v>3131.3</v>
      </c>
      <c r="AH705">
        <v>3176.6</v>
      </c>
      <c r="AI705">
        <v>3222</v>
      </c>
      <c r="AJ705">
        <v>3267.6</v>
      </c>
      <c r="AK705">
        <v>3313.6</v>
      </c>
      <c r="AL705">
        <v>3359.6</v>
      </c>
    </row>
    <row r="706" spans="1:38" x14ac:dyDescent="0.3">
      <c r="A706">
        <v>5600</v>
      </c>
      <c r="B706">
        <v>271.08999999999997</v>
      </c>
      <c r="C706" t="s">
        <v>19</v>
      </c>
      <c r="D706">
        <v>1190.8</v>
      </c>
      <c r="E706">
        <v>2789</v>
      </c>
      <c r="F706" t="s">
        <v>21</v>
      </c>
      <c r="G706" t="s">
        <v>21</v>
      </c>
      <c r="H706" t="s">
        <v>21</v>
      </c>
      <c r="I706" t="s">
        <v>21</v>
      </c>
      <c r="J706" t="s">
        <v>21</v>
      </c>
      <c r="K706" t="s">
        <v>21</v>
      </c>
      <c r="L706" t="s">
        <v>21</v>
      </c>
      <c r="M706" t="s">
        <v>21</v>
      </c>
      <c r="N706" t="s">
        <v>21</v>
      </c>
      <c r="O706" t="s">
        <v>21</v>
      </c>
      <c r="P706" t="s">
        <v>21</v>
      </c>
      <c r="Q706">
        <v>2805.9</v>
      </c>
      <c r="R706">
        <v>2825.06</v>
      </c>
      <c r="S706">
        <v>2863.38</v>
      </c>
      <c r="T706">
        <v>2901.7</v>
      </c>
      <c r="U706">
        <v>2966.8999999999996</v>
      </c>
      <c r="V706">
        <v>2983.2</v>
      </c>
      <c r="W706">
        <v>3026.94</v>
      </c>
      <c r="X706">
        <v>3056.1</v>
      </c>
      <c r="Y706">
        <v>3083.1</v>
      </c>
      <c r="Z706">
        <v>3123.6</v>
      </c>
      <c r="AA706">
        <v>3136.38</v>
      </c>
      <c r="AB706">
        <v>3187.5</v>
      </c>
      <c r="AC706">
        <v>3249</v>
      </c>
      <c r="AD706">
        <v>3309.1</v>
      </c>
      <c r="AE706">
        <v>3368.2</v>
      </c>
      <c r="AF706">
        <v>3426.8</v>
      </c>
      <c r="AG706">
        <v>3485.1</v>
      </c>
      <c r="AH706">
        <v>3543.2</v>
      </c>
      <c r="AI706">
        <v>3601.3</v>
      </c>
      <c r="AJ706">
        <v>3659.5</v>
      </c>
      <c r="AK706">
        <v>3717.95</v>
      </c>
      <c r="AL706">
        <v>3776.4</v>
      </c>
    </row>
    <row r="707" spans="1:38" x14ac:dyDescent="0.3">
      <c r="A707">
        <v>5600</v>
      </c>
      <c r="B707">
        <v>271.08999999999997</v>
      </c>
      <c r="C707" t="s">
        <v>20</v>
      </c>
      <c r="D707">
        <v>2.9863</v>
      </c>
      <c r="E707">
        <v>5.9226999999999999</v>
      </c>
      <c r="F707" t="s">
        <v>21</v>
      </c>
      <c r="G707" t="s">
        <v>21</v>
      </c>
      <c r="H707" t="s">
        <v>21</v>
      </c>
      <c r="I707" t="s">
        <v>21</v>
      </c>
      <c r="J707" t="s">
        <v>21</v>
      </c>
      <c r="K707" t="s">
        <v>21</v>
      </c>
      <c r="L707" t="s">
        <v>21</v>
      </c>
      <c r="M707" t="s">
        <v>21</v>
      </c>
      <c r="N707" t="s">
        <v>21</v>
      </c>
      <c r="O707" t="s">
        <v>21</v>
      </c>
      <c r="P707" t="s">
        <v>21</v>
      </c>
      <c r="Q707">
        <v>5.9537000000000004</v>
      </c>
      <c r="R707">
        <v>5.9879199999999999</v>
      </c>
      <c r="S707">
        <v>6.0563599999999997</v>
      </c>
      <c r="T707">
        <v>6.1247999999999996</v>
      </c>
      <c r="U707">
        <v>6.2361599999999999</v>
      </c>
      <c r="V707">
        <v>6.2640000000000002</v>
      </c>
      <c r="W707">
        <v>6.3356399999999997</v>
      </c>
      <c r="X707">
        <v>6.3834</v>
      </c>
      <c r="Y707">
        <v>6.4258800000000003</v>
      </c>
      <c r="Z707">
        <v>6.4896000000000003</v>
      </c>
      <c r="AA707">
        <v>6.5089399999999999</v>
      </c>
      <c r="AB707">
        <v>6.5862999999999996</v>
      </c>
      <c r="AC707">
        <v>6.6760999999999999</v>
      </c>
      <c r="AD707">
        <v>6.7606999999999999</v>
      </c>
      <c r="AE707">
        <v>6.8411</v>
      </c>
      <c r="AF707">
        <v>6.9180999999999999</v>
      </c>
      <c r="AG707">
        <v>6.9922000000000004</v>
      </c>
      <c r="AH707">
        <v>7.0639000000000003</v>
      </c>
      <c r="AI707">
        <v>7.1334999999999997</v>
      </c>
      <c r="AJ707">
        <v>7.2011000000000003</v>
      </c>
      <c r="AK707">
        <v>7.2661999999999995</v>
      </c>
      <c r="AL707">
        <v>7.3312999999999997</v>
      </c>
    </row>
    <row r="708" spans="1:38" x14ac:dyDescent="0.3">
      <c r="A708">
        <v>5700</v>
      </c>
      <c r="B708">
        <v>272.22000000000003</v>
      </c>
      <c r="C708" t="s">
        <v>0</v>
      </c>
      <c r="D708">
        <v>1.3089999999999999</v>
      </c>
      <c r="E708">
        <v>34.287999999999997</v>
      </c>
      <c r="F708" t="s">
        <v>21</v>
      </c>
      <c r="G708" t="s">
        <v>21</v>
      </c>
      <c r="H708" t="s">
        <v>21</v>
      </c>
      <c r="I708" t="s">
        <v>21</v>
      </c>
      <c r="J708" t="s">
        <v>21</v>
      </c>
      <c r="K708" t="s">
        <v>21</v>
      </c>
      <c r="L708" t="s">
        <v>21</v>
      </c>
      <c r="M708" t="s">
        <v>21</v>
      </c>
      <c r="N708" t="s">
        <v>21</v>
      </c>
      <c r="O708" t="s">
        <v>21</v>
      </c>
      <c r="P708" t="s">
        <v>21</v>
      </c>
      <c r="Q708">
        <v>34.761000000000003</v>
      </c>
      <c r="R708">
        <v>35.523000000000003</v>
      </c>
      <c r="S708">
        <v>37.046999999999997</v>
      </c>
      <c r="T708">
        <v>38.570999999999998</v>
      </c>
      <c r="U708">
        <v>41.184600000000003</v>
      </c>
      <c r="V708">
        <v>41.838000000000001</v>
      </c>
      <c r="W708">
        <v>43.606200000000001</v>
      </c>
      <c r="X708">
        <v>44.784999999999997</v>
      </c>
      <c r="Y708">
        <v>45.881</v>
      </c>
      <c r="Z708">
        <v>47.524999999999999</v>
      </c>
      <c r="AA708">
        <v>48.044199999999996</v>
      </c>
      <c r="AB708">
        <v>50.121000000000002</v>
      </c>
      <c r="AC708">
        <v>52.616999999999997</v>
      </c>
      <c r="AD708">
        <v>55.037999999999997</v>
      </c>
      <c r="AE708">
        <v>57.402999999999999</v>
      </c>
      <c r="AF708">
        <v>59.723999999999997</v>
      </c>
      <c r="AG708">
        <v>62.011000000000003</v>
      </c>
      <c r="AH708">
        <v>64.27</v>
      </c>
      <c r="AI708">
        <v>66.504000000000005</v>
      </c>
      <c r="AJ708">
        <v>68.718999999999994</v>
      </c>
      <c r="AK708">
        <v>70.907499999999999</v>
      </c>
      <c r="AL708">
        <v>73.096000000000004</v>
      </c>
    </row>
    <row r="709" spans="1:38" x14ac:dyDescent="0.3">
      <c r="A709">
        <v>5700</v>
      </c>
      <c r="B709">
        <v>272.22000000000003</v>
      </c>
      <c r="C709" t="s">
        <v>18</v>
      </c>
      <c r="D709">
        <v>1189.0999999999999</v>
      </c>
      <c r="E709">
        <v>2592.6</v>
      </c>
      <c r="F709" t="s">
        <v>21</v>
      </c>
      <c r="G709" t="s">
        <v>21</v>
      </c>
      <c r="H709" t="s">
        <v>21</v>
      </c>
      <c r="I709" t="s">
        <v>21</v>
      </c>
      <c r="J709" t="s">
        <v>21</v>
      </c>
      <c r="K709" t="s">
        <v>21</v>
      </c>
      <c r="L709" t="s">
        <v>21</v>
      </c>
      <c r="M709" t="s">
        <v>21</v>
      </c>
      <c r="N709" t="s">
        <v>21</v>
      </c>
      <c r="O709" t="s">
        <v>21</v>
      </c>
      <c r="P709" t="s">
        <v>21</v>
      </c>
      <c r="Q709">
        <v>2602.1</v>
      </c>
      <c r="R709">
        <v>2617.2399999999998</v>
      </c>
      <c r="S709">
        <v>2647.52</v>
      </c>
      <c r="T709">
        <v>2677.8</v>
      </c>
      <c r="U709">
        <v>2728.84</v>
      </c>
      <c r="V709">
        <v>2741.6</v>
      </c>
      <c r="W709">
        <v>2775.62</v>
      </c>
      <c r="X709">
        <v>2798.3</v>
      </c>
      <c r="Y709">
        <v>2819.1800000000003</v>
      </c>
      <c r="Z709">
        <v>2850.5</v>
      </c>
      <c r="AA709">
        <v>2860.38</v>
      </c>
      <c r="AB709">
        <v>2899.9</v>
      </c>
      <c r="AC709">
        <v>2947.5</v>
      </c>
      <c r="AD709">
        <v>2994</v>
      </c>
      <c r="AE709">
        <v>3039.8</v>
      </c>
      <c r="AF709">
        <v>3085.2</v>
      </c>
      <c r="AG709">
        <v>3130.5</v>
      </c>
      <c r="AH709">
        <v>3175.9</v>
      </c>
      <c r="AI709">
        <v>3221.3</v>
      </c>
      <c r="AJ709">
        <v>3267</v>
      </c>
      <c r="AK709">
        <v>3313.05</v>
      </c>
      <c r="AL709">
        <v>3359.1</v>
      </c>
    </row>
    <row r="710" spans="1:38" x14ac:dyDescent="0.3">
      <c r="A710">
        <v>5700</v>
      </c>
      <c r="B710">
        <v>272.22000000000003</v>
      </c>
      <c r="C710" t="s">
        <v>19</v>
      </c>
      <c r="D710">
        <v>1196.5999999999999</v>
      </c>
      <c r="E710">
        <v>2788</v>
      </c>
      <c r="F710" t="s">
        <v>21</v>
      </c>
      <c r="G710" t="s">
        <v>21</v>
      </c>
      <c r="H710" t="s">
        <v>21</v>
      </c>
      <c r="I710" t="s">
        <v>21</v>
      </c>
      <c r="J710" t="s">
        <v>21</v>
      </c>
      <c r="K710" t="s">
        <v>21</v>
      </c>
      <c r="L710" t="s">
        <v>21</v>
      </c>
      <c r="M710" t="s">
        <v>21</v>
      </c>
      <c r="N710" t="s">
        <v>21</v>
      </c>
      <c r="O710" t="s">
        <v>21</v>
      </c>
      <c r="P710" t="s">
        <v>21</v>
      </c>
      <c r="Q710">
        <v>2800.2</v>
      </c>
      <c r="R710">
        <v>2819.68</v>
      </c>
      <c r="S710">
        <v>2858.64</v>
      </c>
      <c r="T710">
        <v>2897.6</v>
      </c>
      <c r="U710">
        <v>2963.52</v>
      </c>
      <c r="V710">
        <v>2980</v>
      </c>
      <c r="W710">
        <v>3024.1</v>
      </c>
      <c r="X710">
        <v>3053.5</v>
      </c>
      <c r="Y710">
        <v>3080.66</v>
      </c>
      <c r="Z710">
        <v>3121.4</v>
      </c>
      <c r="AA710">
        <v>3134.2400000000002</v>
      </c>
      <c r="AB710">
        <v>3185.6</v>
      </c>
      <c r="AC710">
        <v>3247.5</v>
      </c>
      <c r="AD710">
        <v>3307.7</v>
      </c>
      <c r="AE710">
        <v>3367</v>
      </c>
      <c r="AF710">
        <v>3425.6</v>
      </c>
      <c r="AG710">
        <v>3484</v>
      </c>
      <c r="AH710">
        <v>3542.2</v>
      </c>
      <c r="AI710">
        <v>3600.4</v>
      </c>
      <c r="AJ710">
        <v>3658.7</v>
      </c>
      <c r="AK710">
        <v>3717.2</v>
      </c>
      <c r="AL710">
        <v>3775.7</v>
      </c>
    </row>
    <row r="711" spans="1:38" x14ac:dyDescent="0.3">
      <c r="A711">
        <v>5700</v>
      </c>
      <c r="B711">
        <v>272.22000000000003</v>
      </c>
      <c r="C711" t="s">
        <v>20</v>
      </c>
      <c r="D711">
        <v>2.9967999999999999</v>
      </c>
      <c r="E711">
        <v>5.9146000000000001</v>
      </c>
      <c r="F711" t="s">
        <v>21</v>
      </c>
      <c r="G711" t="s">
        <v>21</v>
      </c>
      <c r="H711" t="s">
        <v>21</v>
      </c>
      <c r="I711" t="s">
        <v>21</v>
      </c>
      <c r="J711" t="s">
        <v>21</v>
      </c>
      <c r="K711" t="s">
        <v>21</v>
      </c>
      <c r="L711" t="s">
        <v>21</v>
      </c>
      <c r="M711" t="s">
        <v>21</v>
      </c>
      <c r="N711" t="s">
        <v>21</v>
      </c>
      <c r="O711" t="s">
        <v>21</v>
      </c>
      <c r="P711" t="s">
        <v>21</v>
      </c>
      <c r="Q711">
        <v>5.9368999999999996</v>
      </c>
      <c r="R711">
        <v>5.9716800000000001</v>
      </c>
      <c r="S711">
        <v>6.0412400000000002</v>
      </c>
      <c r="T711">
        <v>6.1108000000000002</v>
      </c>
      <c r="U711">
        <v>6.2234400000000001</v>
      </c>
      <c r="V711">
        <v>6.2515999999999998</v>
      </c>
      <c r="W711">
        <v>6.3238399999999997</v>
      </c>
      <c r="X711">
        <v>6.3719999999999999</v>
      </c>
      <c r="Y711">
        <v>6.4147600000000002</v>
      </c>
      <c r="Z711">
        <v>6.4789000000000003</v>
      </c>
      <c r="AA711">
        <v>6.4983400000000007</v>
      </c>
      <c r="AB711">
        <v>6.5761000000000003</v>
      </c>
      <c r="AC711">
        <v>6.6662999999999997</v>
      </c>
      <c r="AD711">
        <v>6.7511000000000001</v>
      </c>
      <c r="AE711">
        <v>6.8315999999999999</v>
      </c>
      <c r="AF711">
        <v>6.9088000000000003</v>
      </c>
      <c r="AG711">
        <v>6.9831000000000003</v>
      </c>
      <c r="AH711">
        <v>7.0548999999999999</v>
      </c>
      <c r="AI711">
        <v>7.1245000000000003</v>
      </c>
      <c r="AJ711">
        <v>7.1923000000000004</v>
      </c>
      <c r="AK711">
        <v>7.2574500000000004</v>
      </c>
      <c r="AL711">
        <v>7.3226000000000004</v>
      </c>
    </row>
    <row r="712" spans="1:38" x14ac:dyDescent="0.3">
      <c r="A712">
        <v>5800</v>
      </c>
      <c r="B712">
        <v>273.35000000000002</v>
      </c>
      <c r="C712" t="s">
        <v>0</v>
      </c>
      <c r="D712">
        <v>1.3120000000000001</v>
      </c>
      <c r="E712">
        <v>33.651000000000003</v>
      </c>
      <c r="F712" t="s">
        <v>21</v>
      </c>
      <c r="G712" t="s">
        <v>21</v>
      </c>
      <c r="H712" t="s">
        <v>21</v>
      </c>
      <c r="I712" t="s">
        <v>21</v>
      </c>
      <c r="J712" t="s">
        <v>21</v>
      </c>
      <c r="K712" t="s">
        <v>21</v>
      </c>
      <c r="L712" t="s">
        <v>21</v>
      </c>
      <c r="M712" t="s">
        <v>21</v>
      </c>
      <c r="N712" t="s">
        <v>21</v>
      </c>
      <c r="O712" t="s">
        <v>21</v>
      </c>
      <c r="P712" t="s">
        <v>21</v>
      </c>
      <c r="Q712">
        <f t="shared" ref="Q712:Q719" si="15">+R712-(R712-E712)/($R$303-B712)*5</f>
        <v>33.925172932330824</v>
      </c>
      <c r="R712">
        <v>34.756</v>
      </c>
      <c r="S712">
        <v>36.301000000000002</v>
      </c>
      <c r="T712">
        <v>37.735999999999997</v>
      </c>
      <c r="U712">
        <v>40.332799999999999</v>
      </c>
      <c r="V712">
        <v>40.981999999999999</v>
      </c>
      <c r="W712">
        <v>42.734000000000002</v>
      </c>
      <c r="X712">
        <v>43.902000000000001</v>
      </c>
      <c r="Y712">
        <v>44.985599999999998</v>
      </c>
      <c r="Z712">
        <v>46.610999999999997</v>
      </c>
      <c r="AA712">
        <v>47.123999999999995</v>
      </c>
      <c r="AB712">
        <v>49.176000000000002</v>
      </c>
      <c r="AC712">
        <v>51.637999999999998</v>
      </c>
      <c r="AD712">
        <v>54.026000000000003</v>
      </c>
      <c r="AE712">
        <v>56.356999999999999</v>
      </c>
      <c r="AF712">
        <v>58.643999999999998</v>
      </c>
      <c r="AG712">
        <v>60.896000000000001</v>
      </c>
      <c r="AH712">
        <v>63.12</v>
      </c>
      <c r="AI712">
        <v>65.319999999999993</v>
      </c>
      <c r="AJ712">
        <v>67.5</v>
      </c>
      <c r="AK712">
        <v>69.653500000000008</v>
      </c>
      <c r="AL712">
        <v>71.807000000000002</v>
      </c>
    </row>
    <row r="713" spans="1:38" x14ac:dyDescent="0.3">
      <c r="A713">
        <v>5800</v>
      </c>
      <c r="B713">
        <v>273.35000000000002</v>
      </c>
      <c r="C713" t="s">
        <v>18</v>
      </c>
      <c r="D713">
        <v>1194.7</v>
      </c>
      <c r="E713">
        <v>2591.9</v>
      </c>
      <c r="F713" t="s">
        <v>21</v>
      </c>
      <c r="G713" t="s">
        <v>21</v>
      </c>
      <c r="H713" t="s">
        <v>21</v>
      </c>
      <c r="I713" t="s">
        <v>21</v>
      </c>
      <c r="J713" t="s">
        <v>21</v>
      </c>
      <c r="K713" t="s">
        <v>21</v>
      </c>
      <c r="L713" t="s">
        <v>21</v>
      </c>
      <c r="M713" t="s">
        <v>21</v>
      </c>
      <c r="N713" t="s">
        <v>21</v>
      </c>
      <c r="O713" t="s">
        <v>21</v>
      </c>
      <c r="P713" t="s">
        <v>21</v>
      </c>
      <c r="Q713">
        <f t="shared" si="15"/>
        <v>2597.4827067669175</v>
      </c>
      <c r="R713">
        <v>2614.4</v>
      </c>
      <c r="S713">
        <v>2645.7</v>
      </c>
      <c r="T713">
        <v>2674.6</v>
      </c>
      <c r="U713">
        <v>2726.2</v>
      </c>
      <c r="V713">
        <v>2739.1</v>
      </c>
      <c r="W713">
        <v>2773.42</v>
      </c>
      <c r="X713">
        <v>2796.3</v>
      </c>
      <c r="Y713">
        <v>2817.34</v>
      </c>
      <c r="Z713">
        <v>2848.9</v>
      </c>
      <c r="AA713">
        <v>2858.84</v>
      </c>
      <c r="AB713">
        <v>2898.6</v>
      </c>
      <c r="AC713">
        <v>2946.4</v>
      </c>
      <c r="AD713">
        <v>2992.9</v>
      </c>
      <c r="AE713">
        <v>3038.8</v>
      </c>
      <c r="AF713">
        <v>3084.4</v>
      </c>
      <c r="AG713">
        <v>3129.8</v>
      </c>
      <c r="AH713">
        <v>3175.2</v>
      </c>
      <c r="AI713">
        <v>3220.7</v>
      </c>
      <c r="AJ713">
        <v>3266.4</v>
      </c>
      <c r="AK713">
        <v>3312.45</v>
      </c>
      <c r="AL713">
        <v>3358.5</v>
      </c>
    </row>
    <row r="714" spans="1:38" x14ac:dyDescent="0.3">
      <c r="A714">
        <v>5800</v>
      </c>
      <c r="B714">
        <v>273.35000000000002</v>
      </c>
      <c r="C714" t="s">
        <v>19</v>
      </c>
      <c r="D714">
        <v>1202.3</v>
      </c>
      <c r="E714">
        <v>2787</v>
      </c>
      <c r="F714" t="s">
        <v>21</v>
      </c>
      <c r="G714" t="s">
        <v>21</v>
      </c>
      <c r="H714" t="s">
        <v>21</v>
      </c>
      <c r="I714" t="s">
        <v>21</v>
      </c>
      <c r="J714" t="s">
        <v>21</v>
      </c>
      <c r="K714" t="s">
        <v>21</v>
      </c>
      <c r="L714" t="s">
        <v>21</v>
      </c>
      <c r="M714" t="s">
        <v>21</v>
      </c>
      <c r="N714" t="s">
        <v>21</v>
      </c>
      <c r="O714" t="s">
        <v>21</v>
      </c>
      <c r="P714" t="s">
        <v>21</v>
      </c>
      <c r="Q714">
        <f t="shared" si="15"/>
        <v>2794.1954887218044</v>
      </c>
      <c r="R714">
        <v>2816</v>
      </c>
      <c r="S714">
        <v>2856.3</v>
      </c>
      <c r="T714">
        <v>2893.5</v>
      </c>
      <c r="U714">
        <v>2960.1400000000003</v>
      </c>
      <c r="V714">
        <v>2976.8</v>
      </c>
      <c r="W714">
        <v>3021.32</v>
      </c>
      <c r="X714">
        <v>3051</v>
      </c>
      <c r="Y714">
        <v>3078.32</v>
      </c>
      <c r="Z714">
        <v>3119.3</v>
      </c>
      <c r="AA714">
        <v>3132.2000000000003</v>
      </c>
      <c r="AB714">
        <v>3183.8</v>
      </c>
      <c r="AC714">
        <v>3245.9</v>
      </c>
      <c r="AD714">
        <v>3306.3</v>
      </c>
      <c r="AE714">
        <v>3365.7</v>
      </c>
      <c r="AF714">
        <v>3424.5</v>
      </c>
      <c r="AG714">
        <v>3483</v>
      </c>
      <c r="AH714">
        <v>3541.2</v>
      </c>
      <c r="AI714">
        <v>3599.5</v>
      </c>
      <c r="AJ714">
        <v>3657.9</v>
      </c>
      <c r="AK714">
        <v>3716.45</v>
      </c>
      <c r="AL714">
        <v>3775</v>
      </c>
    </row>
    <row r="715" spans="1:38" x14ac:dyDescent="0.3">
      <c r="A715">
        <v>5800</v>
      </c>
      <c r="B715">
        <v>273.35000000000002</v>
      </c>
      <c r="C715" t="s">
        <v>20</v>
      </c>
      <c r="D715">
        <v>3.0070999999999999</v>
      </c>
      <c r="E715">
        <v>5.9066000000000001</v>
      </c>
      <c r="F715" t="s">
        <v>21</v>
      </c>
      <c r="G715" t="s">
        <v>21</v>
      </c>
      <c r="H715" t="s">
        <v>21</v>
      </c>
      <c r="I715" t="s">
        <v>21</v>
      </c>
      <c r="J715" t="s">
        <v>21</v>
      </c>
      <c r="K715" t="s">
        <v>21</v>
      </c>
      <c r="L715" t="s">
        <v>21</v>
      </c>
      <c r="M715" t="s">
        <v>21</v>
      </c>
      <c r="N715" t="s">
        <v>21</v>
      </c>
      <c r="O715" t="s">
        <v>21</v>
      </c>
      <c r="P715" t="s">
        <v>21</v>
      </c>
      <c r="Q715">
        <f t="shared" si="15"/>
        <v>5.9196511278195487</v>
      </c>
      <c r="R715">
        <v>5.9592000000000001</v>
      </c>
      <c r="S715">
        <v>6.0313999999999997</v>
      </c>
      <c r="T715">
        <v>6.0968999999999998</v>
      </c>
      <c r="U715">
        <v>6.21082</v>
      </c>
      <c r="V715">
        <v>6.2393000000000001</v>
      </c>
      <c r="W715">
        <v>6.3121999999999998</v>
      </c>
      <c r="X715">
        <v>6.3608000000000002</v>
      </c>
      <c r="Y715">
        <v>6.4038000000000004</v>
      </c>
      <c r="Z715">
        <v>6.4683000000000002</v>
      </c>
      <c r="AA715">
        <v>6.4878400000000003</v>
      </c>
      <c r="AB715">
        <v>6.5659999999999998</v>
      </c>
      <c r="AC715">
        <v>6.6565000000000003</v>
      </c>
      <c r="AD715">
        <v>6.7416</v>
      </c>
      <c r="AE715">
        <v>6.8223000000000003</v>
      </c>
      <c r="AF715">
        <v>6.8996000000000004</v>
      </c>
      <c r="AG715">
        <v>6.9740000000000002</v>
      </c>
      <c r="AH715">
        <v>7.0460000000000003</v>
      </c>
      <c r="AI715">
        <v>7.1157000000000004</v>
      </c>
      <c r="AJ715">
        <v>7.1835000000000004</v>
      </c>
      <c r="AK715">
        <v>7.2487000000000004</v>
      </c>
      <c r="AL715">
        <v>7.3139000000000003</v>
      </c>
    </row>
    <row r="716" spans="1:38" x14ac:dyDescent="0.3">
      <c r="A716">
        <v>5900</v>
      </c>
      <c r="B716">
        <v>274.45999999999998</v>
      </c>
      <c r="C716" t="s">
        <v>0</v>
      </c>
      <c r="D716">
        <v>1.3149999999999999</v>
      </c>
      <c r="E716">
        <v>33.033999999999999</v>
      </c>
      <c r="F716" t="s">
        <v>21</v>
      </c>
      <c r="G716" t="s">
        <v>21</v>
      </c>
      <c r="H716" t="s">
        <v>21</v>
      </c>
      <c r="I716" t="s">
        <v>21</v>
      </c>
      <c r="J716" t="s">
        <v>21</v>
      </c>
      <c r="K716" t="s">
        <v>21</v>
      </c>
      <c r="L716" t="s">
        <v>21</v>
      </c>
      <c r="M716" t="s">
        <v>21</v>
      </c>
      <c r="N716" t="s">
        <v>21</v>
      </c>
      <c r="O716" t="s">
        <v>21</v>
      </c>
      <c r="P716" t="s">
        <v>21</v>
      </c>
      <c r="Q716">
        <f t="shared" si="15"/>
        <v>33.123577617328522</v>
      </c>
      <c r="R716">
        <v>33.953000000000003</v>
      </c>
      <c r="S716">
        <v>35.497</v>
      </c>
      <c r="T716">
        <v>36.927999999999997</v>
      </c>
      <c r="U716">
        <v>39.508800000000001</v>
      </c>
      <c r="V716">
        <v>40.154000000000003</v>
      </c>
      <c r="W716">
        <v>41.8904</v>
      </c>
      <c r="X716">
        <v>43.048000000000002</v>
      </c>
      <c r="Y716">
        <v>44.120000000000005</v>
      </c>
      <c r="Z716">
        <v>45.728000000000002</v>
      </c>
      <c r="AA716">
        <v>46.2348</v>
      </c>
      <c r="AB716">
        <v>48.262</v>
      </c>
      <c r="AC716">
        <v>50.692999999999998</v>
      </c>
      <c r="AD716">
        <v>53.048000000000002</v>
      </c>
      <c r="AE716">
        <v>55.345999999999997</v>
      </c>
      <c r="AF716">
        <v>57.6</v>
      </c>
      <c r="AG716">
        <v>59.819000000000003</v>
      </c>
      <c r="AH716">
        <v>62.01</v>
      </c>
      <c r="AI716">
        <v>64.176000000000002</v>
      </c>
      <c r="AJ716">
        <v>66.322000000000003</v>
      </c>
      <c r="AK716">
        <v>68.442499999999995</v>
      </c>
      <c r="AL716">
        <v>70.563000000000002</v>
      </c>
    </row>
    <row r="717" spans="1:38" x14ac:dyDescent="0.3">
      <c r="A717">
        <v>5900</v>
      </c>
      <c r="B717">
        <v>274.45999999999998</v>
      </c>
      <c r="C717" t="s">
        <v>18</v>
      </c>
      <c r="D717">
        <v>1200.3</v>
      </c>
      <c r="E717">
        <v>2591.1</v>
      </c>
      <c r="F717" t="s">
        <v>21</v>
      </c>
      <c r="G717" t="s">
        <v>21</v>
      </c>
      <c r="H717" t="s">
        <v>21</v>
      </c>
      <c r="I717" t="s">
        <v>21</v>
      </c>
      <c r="J717" t="s">
        <v>21</v>
      </c>
      <c r="K717" t="s">
        <v>21</v>
      </c>
      <c r="L717" t="s">
        <v>21</v>
      </c>
      <c r="M717" t="s">
        <v>21</v>
      </c>
      <c r="N717" t="s">
        <v>21</v>
      </c>
      <c r="O717" t="s">
        <v>21</v>
      </c>
      <c r="P717" t="s">
        <v>21</v>
      </c>
      <c r="Q717">
        <f t="shared" si="15"/>
        <v>2592.9617328519857</v>
      </c>
      <c r="R717">
        <v>2610.1999999999998</v>
      </c>
      <c r="S717">
        <v>2642.1</v>
      </c>
      <c r="T717">
        <v>2671.4</v>
      </c>
      <c r="U717">
        <v>2723.64</v>
      </c>
      <c r="V717">
        <v>2736.7</v>
      </c>
      <c r="W717">
        <v>2771.32</v>
      </c>
      <c r="X717">
        <v>2794.4</v>
      </c>
      <c r="Y717">
        <v>2815.56</v>
      </c>
      <c r="Z717">
        <v>2847.3</v>
      </c>
      <c r="AA717">
        <v>2857.28</v>
      </c>
      <c r="AB717">
        <v>2897.2</v>
      </c>
      <c r="AC717">
        <v>2945.2</v>
      </c>
      <c r="AD717">
        <v>2991.9</v>
      </c>
      <c r="AE717">
        <v>3037.9</v>
      </c>
      <c r="AF717">
        <v>3083.5</v>
      </c>
      <c r="AG717">
        <v>3129</v>
      </c>
      <c r="AH717">
        <v>3174.4</v>
      </c>
      <c r="AI717">
        <v>3220</v>
      </c>
      <c r="AJ717">
        <v>3265.7</v>
      </c>
      <c r="AK717">
        <v>3311.8</v>
      </c>
      <c r="AL717">
        <v>3357.9</v>
      </c>
    </row>
    <row r="718" spans="1:38" x14ac:dyDescent="0.3">
      <c r="A718">
        <v>5900</v>
      </c>
      <c r="B718">
        <v>274.45999999999998</v>
      </c>
      <c r="C718" t="s">
        <v>19</v>
      </c>
      <c r="D718">
        <v>1208</v>
      </c>
      <c r="E718">
        <v>2786</v>
      </c>
      <c r="F718" t="s">
        <v>21</v>
      </c>
      <c r="G718" t="s">
        <v>21</v>
      </c>
      <c r="H718" t="s">
        <v>21</v>
      </c>
      <c r="I718" t="s">
        <v>21</v>
      </c>
      <c r="J718" t="s">
        <v>21</v>
      </c>
      <c r="K718" t="s">
        <v>21</v>
      </c>
      <c r="L718" t="s">
        <v>21</v>
      </c>
      <c r="M718" t="s">
        <v>21</v>
      </c>
      <c r="N718" t="s">
        <v>21</v>
      </c>
      <c r="O718" t="s">
        <v>21</v>
      </c>
      <c r="P718" t="s">
        <v>21</v>
      </c>
      <c r="Q718">
        <f t="shared" si="15"/>
        <v>2788.3880866425993</v>
      </c>
      <c r="R718">
        <v>2810.5</v>
      </c>
      <c r="S718">
        <v>2851.5</v>
      </c>
      <c r="T718">
        <v>2889.3</v>
      </c>
      <c r="U718">
        <v>2956.74</v>
      </c>
      <c r="V718">
        <v>2973.6</v>
      </c>
      <c r="W718">
        <v>3018.48</v>
      </c>
      <c r="X718">
        <v>3048.4</v>
      </c>
      <c r="Y718">
        <v>3075.88</v>
      </c>
      <c r="Z718">
        <v>3117.1</v>
      </c>
      <c r="AA718">
        <v>3130.08</v>
      </c>
      <c r="AB718">
        <v>3182</v>
      </c>
      <c r="AC718">
        <v>3244.3</v>
      </c>
      <c r="AD718">
        <v>3304.9</v>
      </c>
      <c r="AE718">
        <v>3364.4</v>
      </c>
      <c r="AF718">
        <v>3423.3</v>
      </c>
      <c r="AG718">
        <v>3481.9</v>
      </c>
      <c r="AH718">
        <v>3540.3</v>
      </c>
      <c r="AI718">
        <v>3598.6</v>
      </c>
      <c r="AJ718">
        <v>3657</v>
      </c>
      <c r="AK718">
        <v>3715.65</v>
      </c>
      <c r="AL718">
        <v>3774.3</v>
      </c>
    </row>
    <row r="719" spans="1:38" x14ac:dyDescent="0.3">
      <c r="A719">
        <v>5900</v>
      </c>
      <c r="B719">
        <v>274.45999999999998</v>
      </c>
      <c r="C719" t="s">
        <v>20</v>
      </c>
      <c r="D719">
        <v>3.0171999999999999</v>
      </c>
      <c r="E719">
        <v>5.8986000000000001</v>
      </c>
      <c r="F719" t="s">
        <v>21</v>
      </c>
      <c r="G719" t="s">
        <v>21</v>
      </c>
      <c r="H719" t="s">
        <v>21</v>
      </c>
      <c r="I719" t="s">
        <v>21</v>
      </c>
      <c r="J719" t="s">
        <v>21</v>
      </c>
      <c r="K719" t="s">
        <v>21</v>
      </c>
      <c r="L719" t="s">
        <v>21</v>
      </c>
      <c r="M719" t="s">
        <v>21</v>
      </c>
      <c r="N719" t="s">
        <v>21</v>
      </c>
      <c r="O719" t="s">
        <v>21</v>
      </c>
      <c r="P719" t="s">
        <v>21</v>
      </c>
      <c r="Q719">
        <f t="shared" si="15"/>
        <v>5.9029375451263544</v>
      </c>
      <c r="R719">
        <v>5.9431000000000003</v>
      </c>
      <c r="S719">
        <v>6.0166000000000004</v>
      </c>
      <c r="T719">
        <v>6.0830000000000002</v>
      </c>
      <c r="U719">
        <v>6.1983600000000001</v>
      </c>
      <c r="V719">
        <v>6.2271999999999998</v>
      </c>
      <c r="W719">
        <v>6.3006399999999996</v>
      </c>
      <c r="X719">
        <v>6.3495999999999997</v>
      </c>
      <c r="Y719">
        <v>6.3928799999999999</v>
      </c>
      <c r="Z719">
        <v>6.4577999999999998</v>
      </c>
      <c r="AA719">
        <v>6.4774399999999996</v>
      </c>
      <c r="AB719">
        <v>6.556</v>
      </c>
      <c r="AC719">
        <v>6.6468999999999996</v>
      </c>
      <c r="AD719">
        <v>6.7321999999999997</v>
      </c>
      <c r="AE719">
        <v>6.8132000000000001</v>
      </c>
      <c r="AF719">
        <v>6.8906000000000001</v>
      </c>
      <c r="AG719">
        <v>6.9652000000000003</v>
      </c>
      <c r="AH719">
        <v>7.0372000000000003</v>
      </c>
      <c r="AI719">
        <v>7.1070000000000002</v>
      </c>
      <c r="AJ719">
        <v>7.1749000000000001</v>
      </c>
      <c r="AK719">
        <v>7.2401499999999999</v>
      </c>
      <c r="AL719">
        <v>7.3053999999999997</v>
      </c>
    </row>
    <row r="720" spans="1:38" x14ac:dyDescent="0.3">
      <c r="A720">
        <v>6000</v>
      </c>
      <c r="B720">
        <v>275.55</v>
      </c>
      <c r="C720" t="s">
        <v>0</v>
      </c>
      <c r="D720">
        <v>1.319</v>
      </c>
      <c r="E720">
        <v>32.438000000000002</v>
      </c>
      <c r="F720" t="s">
        <v>21</v>
      </c>
      <c r="G720" t="s">
        <v>21</v>
      </c>
      <c r="H720" t="s">
        <v>21</v>
      </c>
      <c r="I720" t="s">
        <v>21</v>
      </c>
      <c r="J720" t="s">
        <v>21</v>
      </c>
      <c r="K720" t="s">
        <v>21</v>
      </c>
      <c r="L720" t="s">
        <v>21</v>
      </c>
      <c r="M720" t="s">
        <v>21</v>
      </c>
      <c r="N720" t="s">
        <v>21</v>
      </c>
      <c r="O720" t="s">
        <v>21</v>
      </c>
      <c r="P720" t="s">
        <v>21</v>
      </c>
      <c r="Q720" t="s">
        <v>21</v>
      </c>
      <c r="R720">
        <v>33.173000000000002</v>
      </c>
      <c r="S720">
        <v>34.718000000000004</v>
      </c>
      <c r="T720">
        <v>36.145000000000003</v>
      </c>
      <c r="U720">
        <v>38.711400000000005</v>
      </c>
      <c r="V720">
        <v>39.353000000000002</v>
      </c>
      <c r="W720">
        <v>41.074400000000004</v>
      </c>
      <c r="X720">
        <v>42.222000000000001</v>
      </c>
      <c r="Y720">
        <v>43.282800000000002</v>
      </c>
      <c r="Z720">
        <v>44.874000000000002</v>
      </c>
      <c r="AA720">
        <v>45.375</v>
      </c>
      <c r="AB720">
        <v>47.378999999999998</v>
      </c>
      <c r="AC720">
        <v>49.779000000000003</v>
      </c>
      <c r="AD720">
        <v>52.103000000000002</v>
      </c>
      <c r="AE720">
        <v>54.369</v>
      </c>
      <c r="AF720">
        <v>56.591999999999999</v>
      </c>
      <c r="AG720">
        <v>58.777999999999999</v>
      </c>
      <c r="AH720">
        <v>60.936999999999998</v>
      </c>
      <c r="AI720">
        <v>63.070999999999998</v>
      </c>
      <c r="AJ720">
        <v>65.183999999999997</v>
      </c>
      <c r="AK720">
        <v>67.271500000000003</v>
      </c>
      <c r="AL720">
        <v>69.358999999999995</v>
      </c>
    </row>
    <row r="721" spans="1:38" x14ac:dyDescent="0.3">
      <c r="A721">
        <v>6000</v>
      </c>
      <c r="B721">
        <v>275.55</v>
      </c>
      <c r="C721" t="s">
        <v>18</v>
      </c>
      <c r="D721">
        <v>1205.8</v>
      </c>
      <c r="E721">
        <v>2590.4</v>
      </c>
      <c r="F721" t="s">
        <v>21</v>
      </c>
      <c r="G721" t="s">
        <v>21</v>
      </c>
      <c r="H721" t="s">
        <v>21</v>
      </c>
      <c r="I721" t="s">
        <v>21</v>
      </c>
      <c r="J721" t="s">
        <v>21</v>
      </c>
      <c r="K721" t="s">
        <v>21</v>
      </c>
      <c r="L721" t="s">
        <v>21</v>
      </c>
      <c r="M721" t="s">
        <v>21</v>
      </c>
      <c r="N721" t="s">
        <v>21</v>
      </c>
      <c r="O721" t="s">
        <v>21</v>
      </c>
      <c r="P721" t="s">
        <v>21</v>
      </c>
      <c r="Q721" t="s">
        <v>21</v>
      </c>
      <c r="R721">
        <v>2605.9</v>
      </c>
      <c r="S721">
        <v>2638.4</v>
      </c>
      <c r="T721">
        <v>2668.1</v>
      </c>
      <c r="U721">
        <v>2720.98</v>
      </c>
      <c r="V721">
        <v>2734.2</v>
      </c>
      <c r="W721">
        <v>2769.12</v>
      </c>
      <c r="X721">
        <v>2792.4</v>
      </c>
      <c r="Y721">
        <v>2813.72</v>
      </c>
      <c r="Z721">
        <v>2845.7</v>
      </c>
      <c r="AA721">
        <v>2855.72</v>
      </c>
      <c r="AB721">
        <v>2895.8</v>
      </c>
      <c r="AC721">
        <v>2944</v>
      </c>
      <c r="AD721">
        <v>2990.8</v>
      </c>
      <c r="AE721">
        <v>3036.9</v>
      </c>
      <c r="AF721">
        <v>3082.6</v>
      </c>
      <c r="AG721">
        <v>3128.2</v>
      </c>
      <c r="AH721">
        <v>3173.7</v>
      </c>
      <c r="AI721">
        <v>3219.3</v>
      </c>
      <c r="AJ721">
        <v>3265.1</v>
      </c>
      <c r="AK721">
        <v>3311.25</v>
      </c>
      <c r="AL721">
        <v>3357.4</v>
      </c>
    </row>
    <row r="722" spans="1:38" x14ac:dyDescent="0.3">
      <c r="A722">
        <v>6000</v>
      </c>
      <c r="B722">
        <v>275.55</v>
      </c>
      <c r="C722" t="s">
        <v>19</v>
      </c>
      <c r="D722">
        <v>1213.7</v>
      </c>
      <c r="E722">
        <v>2785</v>
      </c>
      <c r="F722" t="s">
        <v>21</v>
      </c>
      <c r="G722" t="s">
        <v>21</v>
      </c>
      <c r="H722" t="s">
        <v>21</v>
      </c>
      <c r="I722" t="s">
        <v>21</v>
      </c>
      <c r="J722" t="s">
        <v>21</v>
      </c>
      <c r="K722" t="s">
        <v>21</v>
      </c>
      <c r="L722" t="s">
        <v>21</v>
      </c>
      <c r="M722" t="s">
        <v>21</v>
      </c>
      <c r="N722" t="s">
        <v>21</v>
      </c>
      <c r="O722" t="s">
        <v>21</v>
      </c>
      <c r="P722" t="s">
        <v>21</v>
      </c>
      <c r="Q722" t="s">
        <v>21</v>
      </c>
      <c r="R722">
        <v>2804.9</v>
      </c>
      <c r="S722">
        <v>2846.7</v>
      </c>
      <c r="T722">
        <v>2885</v>
      </c>
      <c r="U722">
        <v>2953.32</v>
      </c>
      <c r="V722">
        <v>2970.4</v>
      </c>
      <c r="W722">
        <v>3015.6400000000003</v>
      </c>
      <c r="X722">
        <v>3045.8</v>
      </c>
      <c r="Y722">
        <v>3073.48</v>
      </c>
      <c r="Z722">
        <v>3115</v>
      </c>
      <c r="AA722">
        <v>3128.02</v>
      </c>
      <c r="AB722">
        <v>3180.1</v>
      </c>
      <c r="AC722">
        <v>3242.6</v>
      </c>
      <c r="AD722">
        <v>3303.5</v>
      </c>
      <c r="AE722">
        <v>3363.2</v>
      </c>
      <c r="AF722">
        <v>3422.2</v>
      </c>
      <c r="AG722">
        <v>3480.8</v>
      </c>
      <c r="AH722">
        <v>3539.3</v>
      </c>
      <c r="AI722">
        <v>3597.7</v>
      </c>
      <c r="AJ722">
        <v>3656.2</v>
      </c>
      <c r="AK722">
        <v>3714.85</v>
      </c>
      <c r="AL722">
        <v>3773.5</v>
      </c>
    </row>
    <row r="723" spans="1:38" x14ac:dyDescent="0.3">
      <c r="A723">
        <v>6000</v>
      </c>
      <c r="B723">
        <v>275.55</v>
      </c>
      <c r="C723" t="s">
        <v>20</v>
      </c>
      <c r="D723">
        <v>3.0272999999999999</v>
      </c>
      <c r="E723">
        <v>5.8907999999999996</v>
      </c>
      <c r="F723" t="s">
        <v>21</v>
      </c>
      <c r="G723" t="s">
        <v>21</v>
      </c>
      <c r="H723" t="s">
        <v>21</v>
      </c>
      <c r="I723" t="s">
        <v>21</v>
      </c>
      <c r="J723" t="s">
        <v>21</v>
      </c>
      <c r="K723" t="s">
        <v>21</v>
      </c>
      <c r="L723" t="s">
        <v>21</v>
      </c>
      <c r="M723" t="s">
        <v>21</v>
      </c>
      <c r="N723" t="s">
        <v>21</v>
      </c>
      <c r="O723" t="s">
        <v>21</v>
      </c>
      <c r="P723" t="s">
        <v>21</v>
      </c>
      <c r="Q723" t="s">
        <v>21</v>
      </c>
      <c r="R723">
        <v>5.9269999999999996</v>
      </c>
      <c r="S723">
        <v>6.0016999999999996</v>
      </c>
      <c r="T723">
        <v>6.0692000000000004</v>
      </c>
      <c r="U723">
        <v>6.1859199999999994</v>
      </c>
      <c r="V723">
        <v>6.2150999999999996</v>
      </c>
      <c r="W723">
        <v>6.2891999999999992</v>
      </c>
      <c r="X723">
        <v>6.3385999999999996</v>
      </c>
      <c r="Y723">
        <v>6.3821599999999998</v>
      </c>
      <c r="Z723">
        <v>6.4474999999999998</v>
      </c>
      <c r="AA723">
        <v>6.4672399999999994</v>
      </c>
      <c r="AB723">
        <v>6.5461999999999998</v>
      </c>
      <c r="AC723">
        <v>6.6374000000000004</v>
      </c>
      <c r="AD723">
        <v>6.7229999999999999</v>
      </c>
      <c r="AE723">
        <v>6.8041</v>
      </c>
      <c r="AF723">
        <v>6.8818000000000001</v>
      </c>
      <c r="AG723">
        <v>6.9564000000000004</v>
      </c>
      <c r="AH723">
        <v>7.0285000000000002</v>
      </c>
      <c r="AI723">
        <v>7.0984999999999996</v>
      </c>
      <c r="AJ723">
        <v>7.1664000000000003</v>
      </c>
      <c r="AK723">
        <v>7.2317499999999999</v>
      </c>
      <c r="AL723">
        <v>7.2971000000000004</v>
      </c>
    </row>
    <row r="724" spans="1:38" x14ac:dyDescent="0.3">
      <c r="A724">
        <v>6100</v>
      </c>
      <c r="B724">
        <v>276.63</v>
      </c>
      <c r="C724" t="s">
        <v>0</v>
      </c>
      <c r="D724">
        <v>1.3220000000000001</v>
      </c>
      <c r="E724">
        <v>31.86</v>
      </c>
      <c r="F724" t="s">
        <v>21</v>
      </c>
      <c r="G724" t="s">
        <v>21</v>
      </c>
      <c r="H724" t="s">
        <v>21</v>
      </c>
      <c r="I724" t="s">
        <v>21</v>
      </c>
      <c r="J724" t="s">
        <v>21</v>
      </c>
      <c r="K724" t="s">
        <v>21</v>
      </c>
      <c r="L724" t="s">
        <v>21</v>
      </c>
      <c r="M724" t="s">
        <v>21</v>
      </c>
      <c r="N724" t="s">
        <v>21</v>
      </c>
      <c r="O724" t="s">
        <v>21</v>
      </c>
      <c r="P724" t="s">
        <v>21</v>
      </c>
      <c r="Q724" t="s">
        <v>21</v>
      </c>
      <c r="R724">
        <v>32.414999999999999</v>
      </c>
      <c r="S724">
        <v>33.962000000000003</v>
      </c>
      <c r="T724">
        <v>35.386000000000003</v>
      </c>
      <c r="U724">
        <v>37.938800000000001</v>
      </c>
      <c r="V724">
        <v>38.576999999999998</v>
      </c>
      <c r="W724">
        <v>40.283999999999999</v>
      </c>
      <c r="X724">
        <v>41.421999999999997</v>
      </c>
      <c r="Y724">
        <v>42.4724</v>
      </c>
      <c r="Z724">
        <v>44.048000000000002</v>
      </c>
      <c r="AA724">
        <v>44.543199999999999</v>
      </c>
      <c r="AB724">
        <v>46.524000000000001</v>
      </c>
      <c r="AC724">
        <v>48.895000000000003</v>
      </c>
      <c r="AD724">
        <v>51.189</v>
      </c>
      <c r="AE724">
        <v>53.423999999999999</v>
      </c>
      <c r="AF724">
        <v>55.616</v>
      </c>
      <c r="AG724">
        <v>57.771000000000001</v>
      </c>
      <c r="AH724">
        <v>59.898000000000003</v>
      </c>
      <c r="AI724">
        <v>62.000999999999998</v>
      </c>
      <c r="AJ724">
        <v>64.082999999999998</v>
      </c>
      <c r="AK724">
        <v>66.139499999999998</v>
      </c>
      <c r="AL724">
        <v>68.195999999999998</v>
      </c>
    </row>
    <row r="725" spans="1:38" x14ac:dyDescent="0.3">
      <c r="A725">
        <v>6100</v>
      </c>
      <c r="B725">
        <v>276.63</v>
      </c>
      <c r="C725" t="s">
        <v>18</v>
      </c>
      <c r="D725">
        <v>1211.2</v>
      </c>
      <c r="E725">
        <v>2589.6</v>
      </c>
      <c r="F725" t="s">
        <v>21</v>
      </c>
      <c r="G725" t="s">
        <v>21</v>
      </c>
      <c r="H725" t="s">
        <v>21</v>
      </c>
      <c r="I725" t="s">
        <v>21</v>
      </c>
      <c r="J725" t="s">
        <v>21</v>
      </c>
      <c r="K725" t="s">
        <v>21</v>
      </c>
      <c r="L725" t="s">
        <v>21</v>
      </c>
      <c r="M725" t="s">
        <v>21</v>
      </c>
      <c r="N725" t="s">
        <v>21</v>
      </c>
      <c r="O725" t="s">
        <v>21</v>
      </c>
      <c r="P725" t="s">
        <v>21</v>
      </c>
      <c r="Q725" t="s">
        <v>21</v>
      </c>
      <c r="R725">
        <v>2601.5</v>
      </c>
      <c r="S725">
        <v>2634.6</v>
      </c>
      <c r="T725">
        <v>2664.8</v>
      </c>
      <c r="U725">
        <v>2718.3199999999997</v>
      </c>
      <c r="V725">
        <v>2731.7</v>
      </c>
      <c r="W725">
        <v>2766.92</v>
      </c>
      <c r="X725">
        <v>2790.4</v>
      </c>
      <c r="Y725">
        <v>2811.88</v>
      </c>
      <c r="Z725">
        <v>2844.1</v>
      </c>
      <c r="AA725">
        <v>2854.18</v>
      </c>
      <c r="AB725">
        <v>2894.5</v>
      </c>
      <c r="AC725">
        <v>2942.8</v>
      </c>
      <c r="AD725">
        <v>2989.8</v>
      </c>
      <c r="AE725">
        <v>3036</v>
      </c>
      <c r="AF725">
        <v>3081.8</v>
      </c>
      <c r="AG725">
        <v>3127.4</v>
      </c>
      <c r="AH725">
        <v>3173</v>
      </c>
      <c r="AI725">
        <v>3218.6</v>
      </c>
      <c r="AJ725">
        <v>3264.5</v>
      </c>
      <c r="AK725">
        <v>3310.65</v>
      </c>
      <c r="AL725">
        <v>3356.8</v>
      </c>
    </row>
    <row r="726" spans="1:38" x14ac:dyDescent="0.3">
      <c r="A726">
        <v>6100</v>
      </c>
      <c r="B726">
        <v>276.63</v>
      </c>
      <c r="C726" t="s">
        <v>19</v>
      </c>
      <c r="D726">
        <v>1219.3</v>
      </c>
      <c r="E726">
        <v>2783.9</v>
      </c>
      <c r="F726" t="s">
        <v>21</v>
      </c>
      <c r="G726" t="s">
        <v>21</v>
      </c>
      <c r="H726" t="s">
        <v>21</v>
      </c>
      <c r="I726" t="s">
        <v>21</v>
      </c>
      <c r="J726" t="s">
        <v>21</v>
      </c>
      <c r="K726" t="s">
        <v>21</v>
      </c>
      <c r="L726" t="s">
        <v>21</v>
      </c>
      <c r="M726" t="s">
        <v>21</v>
      </c>
      <c r="N726" t="s">
        <v>21</v>
      </c>
      <c r="O726" t="s">
        <v>21</v>
      </c>
      <c r="P726" t="s">
        <v>21</v>
      </c>
      <c r="Q726" t="s">
        <v>21</v>
      </c>
      <c r="R726">
        <v>2799.3</v>
      </c>
      <c r="S726">
        <v>2841.8</v>
      </c>
      <c r="T726">
        <v>2880.7</v>
      </c>
      <c r="U726">
        <v>2949.8199999999997</v>
      </c>
      <c r="V726">
        <v>2967.1</v>
      </c>
      <c r="W726">
        <v>3012.7</v>
      </c>
      <c r="X726">
        <v>3043.1</v>
      </c>
      <c r="Y726">
        <v>3070.98</v>
      </c>
      <c r="Z726">
        <v>3112.8</v>
      </c>
      <c r="AA726">
        <v>3125.9</v>
      </c>
      <c r="AB726">
        <v>3178.3</v>
      </c>
      <c r="AC726">
        <v>3241</v>
      </c>
      <c r="AD726">
        <v>3302</v>
      </c>
      <c r="AE726">
        <v>3361.9</v>
      </c>
      <c r="AF726">
        <v>3421</v>
      </c>
      <c r="AG726">
        <v>3479.8</v>
      </c>
      <c r="AH726">
        <v>3538.3</v>
      </c>
      <c r="AI726">
        <v>3596.8</v>
      </c>
      <c r="AJ726">
        <v>3655.4</v>
      </c>
      <c r="AK726">
        <v>3714.1</v>
      </c>
      <c r="AL726">
        <v>3772.8</v>
      </c>
    </row>
    <row r="727" spans="1:38" x14ac:dyDescent="0.3">
      <c r="A727">
        <v>6100</v>
      </c>
      <c r="B727">
        <v>276.63</v>
      </c>
      <c r="C727" t="s">
        <v>20</v>
      </c>
      <c r="D727">
        <v>3.0371999999999999</v>
      </c>
      <c r="E727">
        <v>5.883</v>
      </c>
      <c r="F727" t="s">
        <v>21</v>
      </c>
      <c r="G727" t="s">
        <v>21</v>
      </c>
      <c r="H727" t="s">
        <v>21</v>
      </c>
      <c r="I727" t="s">
        <v>21</v>
      </c>
      <c r="J727" t="s">
        <v>21</v>
      </c>
      <c r="K727" t="s">
        <v>21</v>
      </c>
      <c r="L727" t="s">
        <v>21</v>
      </c>
      <c r="M727" t="s">
        <v>21</v>
      </c>
      <c r="N727" t="s">
        <v>21</v>
      </c>
      <c r="O727" t="s">
        <v>21</v>
      </c>
      <c r="P727" t="s">
        <v>21</v>
      </c>
      <c r="Q727" t="s">
        <v>21</v>
      </c>
      <c r="R727">
        <v>5.9108000000000001</v>
      </c>
      <c r="S727">
        <v>5.9869000000000003</v>
      </c>
      <c r="T727">
        <v>6.0555000000000003</v>
      </c>
      <c r="U727">
        <v>6.1735800000000003</v>
      </c>
      <c r="V727">
        <v>6.2031000000000001</v>
      </c>
      <c r="W727">
        <v>6.2778600000000004</v>
      </c>
      <c r="X727">
        <v>6.3277000000000001</v>
      </c>
      <c r="Y727">
        <v>6.3715399999999995</v>
      </c>
      <c r="Z727">
        <v>6.4372999999999996</v>
      </c>
      <c r="AA727">
        <v>6.4571199999999997</v>
      </c>
      <c r="AB727">
        <v>6.5364000000000004</v>
      </c>
      <c r="AC727">
        <v>6.6280000000000001</v>
      </c>
      <c r="AD727">
        <v>6.7138999999999998</v>
      </c>
      <c r="AE727">
        <v>6.7952000000000004</v>
      </c>
      <c r="AF727">
        <v>6.8730000000000002</v>
      </c>
      <c r="AG727">
        <v>6.9478</v>
      </c>
      <c r="AH727">
        <v>7.02</v>
      </c>
      <c r="AI727">
        <v>7.09</v>
      </c>
      <c r="AJ727">
        <v>7.1581000000000001</v>
      </c>
      <c r="AK727">
        <v>7.2234999999999996</v>
      </c>
      <c r="AL727">
        <v>7.2888999999999999</v>
      </c>
    </row>
    <row r="728" spans="1:38" x14ac:dyDescent="0.3">
      <c r="A728">
        <v>6200</v>
      </c>
      <c r="B728">
        <v>277.7</v>
      </c>
      <c r="C728" t="s">
        <v>0</v>
      </c>
      <c r="D728">
        <v>1.325</v>
      </c>
      <c r="E728">
        <v>31.3</v>
      </c>
      <c r="F728" t="s">
        <v>21</v>
      </c>
      <c r="G728" t="s">
        <v>21</v>
      </c>
      <c r="H728" t="s">
        <v>21</v>
      </c>
      <c r="I728" t="s">
        <v>21</v>
      </c>
      <c r="J728" t="s">
        <v>21</v>
      </c>
      <c r="K728" t="s">
        <v>21</v>
      </c>
      <c r="L728" t="s">
        <v>21</v>
      </c>
      <c r="M728" t="s">
        <v>21</v>
      </c>
      <c r="N728" t="s">
        <v>21</v>
      </c>
      <c r="O728" t="s">
        <v>21</v>
      </c>
      <c r="P728" t="s">
        <v>21</v>
      </c>
      <c r="Q728" t="s">
        <v>21</v>
      </c>
      <c r="R728">
        <v>31.678999999999998</v>
      </c>
      <c r="S728">
        <v>33.226999999999997</v>
      </c>
      <c r="T728">
        <v>34.65</v>
      </c>
      <c r="U728">
        <v>37.190000000000005</v>
      </c>
      <c r="V728">
        <v>37.825000000000003</v>
      </c>
      <c r="W728">
        <v>39.518800000000006</v>
      </c>
      <c r="X728">
        <v>40.648000000000003</v>
      </c>
      <c r="Y728">
        <v>41.688000000000002</v>
      </c>
      <c r="Z728">
        <v>43.247999999999998</v>
      </c>
      <c r="AA728">
        <v>43.7378</v>
      </c>
      <c r="AB728">
        <v>45.697000000000003</v>
      </c>
      <c r="AC728">
        <v>48.039000000000001</v>
      </c>
      <c r="AD728">
        <v>50.304000000000002</v>
      </c>
      <c r="AE728">
        <v>52.51</v>
      </c>
      <c r="AF728">
        <v>54.670999999999999</v>
      </c>
      <c r="AG728">
        <v>56.796999999999997</v>
      </c>
      <c r="AH728">
        <v>58.893999999999998</v>
      </c>
      <c r="AI728">
        <v>60.966000000000001</v>
      </c>
      <c r="AJ728">
        <v>63.018000000000001</v>
      </c>
      <c r="AK728">
        <v>65.043499999999995</v>
      </c>
      <c r="AL728">
        <v>67.069000000000003</v>
      </c>
    </row>
    <row r="729" spans="1:38" x14ac:dyDescent="0.3">
      <c r="A729">
        <v>6200</v>
      </c>
      <c r="B729">
        <v>277.7</v>
      </c>
      <c r="C729" t="s">
        <v>18</v>
      </c>
      <c r="D729">
        <v>1216.5999999999999</v>
      </c>
      <c r="E729">
        <v>2588.8000000000002</v>
      </c>
      <c r="F729" t="s">
        <v>21</v>
      </c>
      <c r="G729" t="s">
        <v>21</v>
      </c>
      <c r="H729" t="s">
        <v>21</v>
      </c>
      <c r="I729" t="s">
        <v>21</v>
      </c>
      <c r="J729" t="s">
        <v>21</v>
      </c>
      <c r="K729" t="s">
        <v>21</v>
      </c>
      <c r="L729" t="s">
        <v>21</v>
      </c>
      <c r="M729" t="s">
        <v>21</v>
      </c>
      <c r="N729" t="s">
        <v>21</v>
      </c>
      <c r="O729" t="s">
        <v>21</v>
      </c>
      <c r="P729" t="s">
        <v>21</v>
      </c>
      <c r="Q729" t="s">
        <v>21</v>
      </c>
      <c r="R729">
        <v>2597.1</v>
      </c>
      <c r="S729">
        <v>2630.8</v>
      </c>
      <c r="T729">
        <v>2661.5</v>
      </c>
      <c r="U729">
        <v>2715.66</v>
      </c>
      <c r="V729">
        <v>2729.2</v>
      </c>
      <c r="W729">
        <v>2764.7799999999997</v>
      </c>
      <c r="X729">
        <v>2788.5</v>
      </c>
      <c r="Y729">
        <v>2810.06</v>
      </c>
      <c r="Z729">
        <v>2842.4</v>
      </c>
      <c r="AA729">
        <v>2852.54</v>
      </c>
      <c r="AB729">
        <v>2893.1</v>
      </c>
      <c r="AC729">
        <v>2941.6</v>
      </c>
      <c r="AD729">
        <v>2988.7</v>
      </c>
      <c r="AE729">
        <v>3035</v>
      </c>
      <c r="AF729">
        <v>3080.9</v>
      </c>
      <c r="AG729">
        <v>3126.6</v>
      </c>
      <c r="AH729">
        <v>3172.2</v>
      </c>
      <c r="AI729">
        <v>3218</v>
      </c>
      <c r="AJ729">
        <v>3263.8</v>
      </c>
      <c r="AK729">
        <v>3310.05</v>
      </c>
      <c r="AL729">
        <v>3356.3</v>
      </c>
    </row>
    <row r="730" spans="1:38" x14ac:dyDescent="0.3">
      <c r="A730">
        <v>6200</v>
      </c>
      <c r="B730">
        <v>277.7</v>
      </c>
      <c r="C730" t="s">
        <v>19</v>
      </c>
      <c r="D730">
        <v>1224.8</v>
      </c>
      <c r="E730">
        <v>2782.9</v>
      </c>
      <c r="F730" t="s">
        <v>21</v>
      </c>
      <c r="G730" t="s">
        <v>21</v>
      </c>
      <c r="H730" t="s">
        <v>21</v>
      </c>
      <c r="I730" t="s">
        <v>21</v>
      </c>
      <c r="J730" t="s">
        <v>21</v>
      </c>
      <c r="K730" t="s">
        <v>21</v>
      </c>
      <c r="L730" t="s">
        <v>21</v>
      </c>
      <c r="M730" t="s">
        <v>21</v>
      </c>
      <c r="N730" t="s">
        <v>21</v>
      </c>
      <c r="O730" t="s">
        <v>21</v>
      </c>
      <c r="P730" t="s">
        <v>21</v>
      </c>
      <c r="Q730" t="s">
        <v>21</v>
      </c>
      <c r="R730">
        <v>2793.5</v>
      </c>
      <c r="S730">
        <v>2836.8</v>
      </c>
      <c r="T730">
        <v>2876.3</v>
      </c>
      <c r="U730">
        <v>2946.3</v>
      </c>
      <c r="V730">
        <v>2963.8</v>
      </c>
      <c r="W730">
        <v>3009.82</v>
      </c>
      <c r="X730">
        <v>3040.5</v>
      </c>
      <c r="Y730">
        <v>3068.54</v>
      </c>
      <c r="Z730">
        <v>3110.6</v>
      </c>
      <c r="AA730">
        <v>3123.7599999999998</v>
      </c>
      <c r="AB730">
        <v>3176.4</v>
      </c>
      <c r="AC730">
        <v>3239.4</v>
      </c>
      <c r="AD730">
        <v>3300.6</v>
      </c>
      <c r="AE730">
        <v>3360.6</v>
      </c>
      <c r="AF730">
        <v>3419.9</v>
      </c>
      <c r="AG730">
        <v>3478.7</v>
      </c>
      <c r="AH730">
        <v>3537.4</v>
      </c>
      <c r="AI730">
        <v>3595.9</v>
      </c>
      <c r="AJ730">
        <v>3654.5</v>
      </c>
      <c r="AK730">
        <v>3713.3</v>
      </c>
      <c r="AL730">
        <v>3772.1</v>
      </c>
    </row>
    <row r="731" spans="1:38" x14ac:dyDescent="0.3">
      <c r="A731">
        <v>6200</v>
      </c>
      <c r="B731">
        <v>277.7</v>
      </c>
      <c r="C731" t="s">
        <v>20</v>
      </c>
      <c r="D731">
        <v>3.0470999999999999</v>
      </c>
      <c r="E731">
        <v>5.8753000000000002</v>
      </c>
      <c r="F731" t="s">
        <v>21</v>
      </c>
      <c r="G731" t="s">
        <v>21</v>
      </c>
      <c r="H731" t="s">
        <v>21</v>
      </c>
      <c r="I731" t="s">
        <v>21</v>
      </c>
      <c r="J731" t="s">
        <v>21</v>
      </c>
      <c r="K731" t="s">
        <v>21</v>
      </c>
      <c r="L731" t="s">
        <v>21</v>
      </c>
      <c r="M731" t="s">
        <v>21</v>
      </c>
      <c r="N731" t="s">
        <v>21</v>
      </c>
      <c r="O731" t="s">
        <v>21</v>
      </c>
      <c r="P731" t="s">
        <v>21</v>
      </c>
      <c r="Q731" t="s">
        <v>21</v>
      </c>
      <c r="R731">
        <v>5.8945999999999996</v>
      </c>
      <c r="S731">
        <v>5.9721000000000002</v>
      </c>
      <c r="T731">
        <v>6.0418000000000003</v>
      </c>
      <c r="U731">
        <v>6.1612399999999994</v>
      </c>
      <c r="V731">
        <v>6.1910999999999996</v>
      </c>
      <c r="W731">
        <v>6.2665199999999999</v>
      </c>
      <c r="X731">
        <v>6.3167999999999997</v>
      </c>
      <c r="Y731">
        <v>6.3609599999999995</v>
      </c>
      <c r="Z731">
        <v>6.4272</v>
      </c>
      <c r="AA731">
        <v>6.44712</v>
      </c>
      <c r="AB731">
        <v>6.5267999999999997</v>
      </c>
      <c r="AC731">
        <v>6.6188000000000002</v>
      </c>
      <c r="AD731">
        <v>6.7049000000000003</v>
      </c>
      <c r="AE731">
        <v>6.7864000000000004</v>
      </c>
      <c r="AF731">
        <v>6.8643999999999998</v>
      </c>
      <c r="AG731">
        <v>6.9393000000000002</v>
      </c>
      <c r="AH731">
        <v>7.0115999999999996</v>
      </c>
      <c r="AI731">
        <v>7.0816999999999997</v>
      </c>
      <c r="AJ731">
        <v>7.1497999999999999</v>
      </c>
      <c r="AK731">
        <v>7.2153</v>
      </c>
      <c r="AL731">
        <v>7.2808000000000002</v>
      </c>
    </row>
    <row r="732" spans="1:38" x14ac:dyDescent="0.3">
      <c r="A732">
        <v>6300</v>
      </c>
      <c r="B732">
        <v>278.75</v>
      </c>
      <c r="C732" t="s">
        <v>0</v>
      </c>
      <c r="D732">
        <v>1.3280000000000001</v>
      </c>
      <c r="E732">
        <v>30.757000000000001</v>
      </c>
      <c r="F732" t="s">
        <v>21</v>
      </c>
      <c r="G732" t="s">
        <v>21</v>
      </c>
      <c r="H732" t="s">
        <v>21</v>
      </c>
      <c r="I732" t="s">
        <v>21</v>
      </c>
      <c r="J732" t="s">
        <v>21</v>
      </c>
      <c r="K732" t="s">
        <v>21</v>
      </c>
      <c r="L732" t="s">
        <v>21</v>
      </c>
      <c r="M732" t="s">
        <v>21</v>
      </c>
      <c r="N732" t="s">
        <v>21</v>
      </c>
      <c r="O732" t="s">
        <v>21</v>
      </c>
      <c r="P732" t="s">
        <v>21</v>
      </c>
      <c r="Q732" t="s">
        <v>21</v>
      </c>
      <c r="R732">
        <v>30.962</v>
      </c>
      <c r="S732">
        <v>32.514000000000003</v>
      </c>
      <c r="T732">
        <v>33.935000000000002</v>
      </c>
      <c r="U732">
        <v>36.464600000000004</v>
      </c>
      <c r="V732">
        <v>37.097000000000001</v>
      </c>
      <c r="W732">
        <v>38.7776</v>
      </c>
      <c r="X732">
        <v>39.898000000000003</v>
      </c>
      <c r="Y732">
        <v>40.928000000000004</v>
      </c>
      <c r="Z732">
        <v>42.472999999999999</v>
      </c>
      <c r="AA732">
        <v>42.9574</v>
      </c>
      <c r="AB732">
        <v>44.895000000000003</v>
      </c>
      <c r="AC732">
        <v>47.21</v>
      </c>
      <c r="AD732">
        <v>49.447000000000003</v>
      </c>
      <c r="AE732">
        <v>51.624000000000002</v>
      </c>
      <c r="AF732">
        <v>53.756999999999998</v>
      </c>
      <c r="AG732">
        <v>55.853000000000002</v>
      </c>
      <c r="AH732">
        <v>57.920999999999999</v>
      </c>
      <c r="AI732">
        <v>59.963999999999999</v>
      </c>
      <c r="AJ732">
        <v>61.985999999999997</v>
      </c>
      <c r="AK732">
        <v>63.982500000000002</v>
      </c>
      <c r="AL732">
        <v>65.978999999999999</v>
      </c>
    </row>
    <row r="733" spans="1:38" x14ac:dyDescent="0.3">
      <c r="A733">
        <v>6300</v>
      </c>
      <c r="B733">
        <v>278.75</v>
      </c>
      <c r="C733" t="s">
        <v>18</v>
      </c>
      <c r="D733">
        <v>1221.9000000000001</v>
      </c>
      <c r="E733">
        <v>2588</v>
      </c>
      <c r="F733" t="s">
        <v>21</v>
      </c>
      <c r="G733" t="s">
        <v>21</v>
      </c>
      <c r="H733" t="s">
        <v>21</v>
      </c>
      <c r="I733" t="s">
        <v>21</v>
      </c>
      <c r="J733" t="s">
        <v>21</v>
      </c>
      <c r="K733" t="s">
        <v>21</v>
      </c>
      <c r="L733" t="s">
        <v>21</v>
      </c>
      <c r="M733" t="s">
        <v>21</v>
      </c>
      <c r="N733" t="s">
        <v>21</v>
      </c>
      <c r="O733" t="s">
        <v>21</v>
      </c>
      <c r="P733" t="s">
        <v>21</v>
      </c>
      <c r="Q733" t="s">
        <v>21</v>
      </c>
      <c r="R733">
        <v>2592.6</v>
      </c>
      <c r="S733">
        <v>2626.9</v>
      </c>
      <c r="T733">
        <v>2658.1</v>
      </c>
      <c r="U733">
        <v>2712.98</v>
      </c>
      <c r="V733">
        <v>2726.7</v>
      </c>
      <c r="W733">
        <v>2762.58</v>
      </c>
      <c r="X733">
        <v>2786.5</v>
      </c>
      <c r="Y733">
        <v>2808.2200000000003</v>
      </c>
      <c r="Z733">
        <v>2840.8</v>
      </c>
      <c r="AA733">
        <v>2850.98</v>
      </c>
      <c r="AB733">
        <v>2891.7</v>
      </c>
      <c r="AC733">
        <v>2940.4</v>
      </c>
      <c r="AD733">
        <v>2987.7</v>
      </c>
      <c r="AE733">
        <v>3034.1</v>
      </c>
      <c r="AF733">
        <v>3080.1</v>
      </c>
      <c r="AG733">
        <v>3125.8</v>
      </c>
      <c r="AH733">
        <v>3171.5</v>
      </c>
      <c r="AI733">
        <v>3217.3</v>
      </c>
      <c r="AJ733">
        <v>3263.2</v>
      </c>
      <c r="AK733">
        <v>3309.45</v>
      </c>
      <c r="AL733">
        <v>3355.7</v>
      </c>
    </row>
    <row r="734" spans="1:38" x14ac:dyDescent="0.3">
      <c r="A734">
        <v>6300</v>
      </c>
      <c r="B734">
        <v>278.75</v>
      </c>
      <c r="C734" t="s">
        <v>19</v>
      </c>
      <c r="D734">
        <v>1230.3</v>
      </c>
      <c r="E734">
        <v>2781.8</v>
      </c>
      <c r="F734" t="s">
        <v>21</v>
      </c>
      <c r="G734" t="s">
        <v>21</v>
      </c>
      <c r="H734" t="s">
        <v>21</v>
      </c>
      <c r="I734" t="s">
        <v>21</v>
      </c>
      <c r="J734" t="s">
        <v>21</v>
      </c>
      <c r="K734" t="s">
        <v>21</v>
      </c>
      <c r="L734" t="s">
        <v>21</v>
      </c>
      <c r="M734" t="s">
        <v>21</v>
      </c>
      <c r="N734" t="s">
        <v>21</v>
      </c>
      <c r="O734" t="s">
        <v>21</v>
      </c>
      <c r="P734" t="s">
        <v>21</v>
      </c>
      <c r="Q734" t="s">
        <v>21</v>
      </c>
      <c r="R734">
        <v>2787.6</v>
      </c>
      <c r="S734">
        <v>2831.7</v>
      </c>
      <c r="T734">
        <v>2871.9</v>
      </c>
      <c r="U734">
        <v>2942.7000000000003</v>
      </c>
      <c r="V734">
        <v>2960.4</v>
      </c>
      <c r="W734">
        <v>3006.84</v>
      </c>
      <c r="X734">
        <v>3037.8</v>
      </c>
      <c r="Y734">
        <v>3066.04</v>
      </c>
      <c r="Z734">
        <v>3108.4</v>
      </c>
      <c r="AA734">
        <v>3121.62</v>
      </c>
      <c r="AB734">
        <v>3174.5</v>
      </c>
      <c r="AC734">
        <v>3237.8</v>
      </c>
      <c r="AD734">
        <v>3299.2</v>
      </c>
      <c r="AE734">
        <v>3359.3</v>
      </c>
      <c r="AF734">
        <v>3418.7</v>
      </c>
      <c r="AG734">
        <v>3477.7</v>
      </c>
      <c r="AH734">
        <v>3536.4</v>
      </c>
      <c r="AI734">
        <v>3595</v>
      </c>
      <c r="AJ734">
        <v>3653.7</v>
      </c>
      <c r="AK734">
        <v>3712.55</v>
      </c>
      <c r="AL734">
        <v>3771.4</v>
      </c>
    </row>
    <row r="735" spans="1:38" x14ac:dyDescent="0.3">
      <c r="A735">
        <v>6300</v>
      </c>
      <c r="B735">
        <v>278.75</v>
      </c>
      <c r="C735" t="s">
        <v>20</v>
      </c>
      <c r="D735">
        <v>3.0568</v>
      </c>
      <c r="E735">
        <v>5.8677000000000001</v>
      </c>
      <c r="F735" t="s">
        <v>21</v>
      </c>
      <c r="G735" t="s">
        <v>21</v>
      </c>
      <c r="H735" t="s">
        <v>21</v>
      </c>
      <c r="I735" t="s">
        <v>21</v>
      </c>
      <c r="J735" t="s">
        <v>21</v>
      </c>
      <c r="K735" t="s">
        <v>21</v>
      </c>
      <c r="L735" t="s">
        <v>21</v>
      </c>
      <c r="M735" t="s">
        <v>21</v>
      </c>
      <c r="N735" t="s">
        <v>21</v>
      </c>
      <c r="O735" t="s">
        <v>21</v>
      </c>
      <c r="P735" t="s">
        <v>21</v>
      </c>
      <c r="Q735" t="s">
        <v>21</v>
      </c>
      <c r="R735">
        <v>5.8783000000000003</v>
      </c>
      <c r="S735">
        <v>5.9573</v>
      </c>
      <c r="T735">
        <v>6.0281000000000002</v>
      </c>
      <c r="U735">
        <v>6.1490599999999995</v>
      </c>
      <c r="V735">
        <v>6.1792999999999996</v>
      </c>
      <c r="W735">
        <v>6.2553799999999997</v>
      </c>
      <c r="X735">
        <v>6.3060999999999998</v>
      </c>
      <c r="Y735">
        <v>6.3505399999999996</v>
      </c>
      <c r="Z735">
        <v>6.4172000000000002</v>
      </c>
      <c r="AA735">
        <v>6.4372199999999999</v>
      </c>
      <c r="AB735">
        <v>6.5172999999999996</v>
      </c>
      <c r="AC735">
        <v>6.6096000000000004</v>
      </c>
      <c r="AD735">
        <v>6.6959999999999997</v>
      </c>
      <c r="AE735">
        <v>6.7778</v>
      </c>
      <c r="AF735">
        <v>6.8559000000000001</v>
      </c>
      <c r="AG735">
        <v>6.9309000000000003</v>
      </c>
      <c r="AH735">
        <v>7.0034000000000001</v>
      </c>
      <c r="AI735">
        <v>7.0735000000000001</v>
      </c>
      <c r="AJ735">
        <v>7.1417000000000002</v>
      </c>
      <c r="AK735">
        <v>7.2072500000000002</v>
      </c>
      <c r="AL735">
        <v>7.2728000000000002</v>
      </c>
    </row>
    <row r="736" spans="1:38" x14ac:dyDescent="0.3">
      <c r="A736">
        <v>6400</v>
      </c>
      <c r="B736">
        <v>279.79000000000002</v>
      </c>
      <c r="C736" t="s">
        <v>0</v>
      </c>
      <c r="D736">
        <v>1.3320000000000001</v>
      </c>
      <c r="E736">
        <v>30.23</v>
      </c>
      <c r="F736" t="s">
        <v>21</v>
      </c>
      <c r="G736" t="s">
        <v>21</v>
      </c>
      <c r="H736" t="s">
        <v>21</v>
      </c>
      <c r="I736" t="s">
        <v>21</v>
      </c>
      <c r="J736" t="s">
        <v>21</v>
      </c>
      <c r="K736" t="s">
        <v>21</v>
      </c>
      <c r="L736" t="s">
        <v>21</v>
      </c>
      <c r="M736" t="s">
        <v>21</v>
      </c>
      <c r="N736" t="s">
        <v>21</v>
      </c>
      <c r="O736" t="s">
        <v>21</v>
      </c>
      <c r="P736" t="s">
        <v>21</v>
      </c>
      <c r="Q736" t="s">
        <v>21</v>
      </c>
      <c r="R736">
        <v>30.265000000000001</v>
      </c>
      <c r="S736">
        <v>31.821000000000002</v>
      </c>
      <c r="T736">
        <v>33.241</v>
      </c>
      <c r="U736">
        <v>35.760199999999998</v>
      </c>
      <c r="V736">
        <v>36.39</v>
      </c>
      <c r="W736">
        <v>38.058</v>
      </c>
      <c r="X736">
        <v>39.17</v>
      </c>
      <c r="Y736">
        <v>40.190800000000003</v>
      </c>
      <c r="Z736">
        <v>41.722000000000001</v>
      </c>
      <c r="AA736">
        <v>42.2014</v>
      </c>
      <c r="AB736">
        <v>44.119</v>
      </c>
      <c r="AC736">
        <v>46.406999999999996</v>
      </c>
      <c r="AD736">
        <v>48.616999999999997</v>
      </c>
      <c r="AE736">
        <v>50.767000000000003</v>
      </c>
      <c r="AF736">
        <v>52.871000000000002</v>
      </c>
      <c r="AG736">
        <v>54.939</v>
      </c>
      <c r="AH736">
        <v>56.978000000000002</v>
      </c>
      <c r="AI736">
        <v>58.993000000000002</v>
      </c>
      <c r="AJ736">
        <v>60.987000000000002</v>
      </c>
      <c r="AK736">
        <v>62.954500000000003</v>
      </c>
      <c r="AL736">
        <v>64.921999999999997</v>
      </c>
    </row>
    <row r="737" spans="1:38" x14ac:dyDescent="0.3">
      <c r="A737">
        <v>6400</v>
      </c>
      <c r="B737">
        <v>279.79000000000002</v>
      </c>
      <c r="C737" t="s">
        <v>18</v>
      </c>
      <c r="D737">
        <v>1227.2</v>
      </c>
      <c r="E737">
        <v>2587.1999999999998</v>
      </c>
      <c r="F737" t="s">
        <v>21</v>
      </c>
      <c r="G737" t="s">
        <v>21</v>
      </c>
      <c r="H737" t="s">
        <v>21</v>
      </c>
      <c r="I737" t="s">
        <v>21</v>
      </c>
      <c r="J737" t="s">
        <v>21</v>
      </c>
      <c r="K737" t="s">
        <v>21</v>
      </c>
      <c r="L737" t="s">
        <v>21</v>
      </c>
      <c r="M737" t="s">
        <v>21</v>
      </c>
      <c r="N737" t="s">
        <v>21</v>
      </c>
      <c r="O737" t="s">
        <v>21</v>
      </c>
      <c r="P737" t="s">
        <v>21</v>
      </c>
      <c r="Q737" t="s">
        <v>21</v>
      </c>
      <c r="R737">
        <v>2587.9</v>
      </c>
      <c r="S737">
        <v>2623</v>
      </c>
      <c r="T737">
        <v>2654.7</v>
      </c>
      <c r="U737">
        <v>2710.2999999999997</v>
      </c>
      <c r="V737">
        <v>2724.2</v>
      </c>
      <c r="W737">
        <v>2760.32</v>
      </c>
      <c r="X737">
        <v>2784.4</v>
      </c>
      <c r="Y737">
        <v>2806.28</v>
      </c>
      <c r="Z737">
        <v>2839.1</v>
      </c>
      <c r="AA737">
        <v>2849.34</v>
      </c>
      <c r="AB737">
        <v>2890.3</v>
      </c>
      <c r="AC737">
        <v>2939.2</v>
      </c>
      <c r="AD737">
        <v>2986.6</v>
      </c>
      <c r="AE737">
        <v>3033.1</v>
      </c>
      <c r="AF737">
        <v>3079.2</v>
      </c>
      <c r="AG737">
        <v>3125</v>
      </c>
      <c r="AH737">
        <v>3170.8</v>
      </c>
      <c r="AI737">
        <v>3216.6</v>
      </c>
      <c r="AJ737">
        <v>3262.6</v>
      </c>
      <c r="AK737">
        <v>3308.8999999999996</v>
      </c>
      <c r="AL737">
        <v>3355.2</v>
      </c>
    </row>
    <row r="738" spans="1:38" x14ac:dyDescent="0.3">
      <c r="A738">
        <v>6400</v>
      </c>
      <c r="B738">
        <v>279.79000000000002</v>
      </c>
      <c r="C738" t="s">
        <v>19</v>
      </c>
      <c r="D738">
        <v>1235.7</v>
      </c>
      <c r="E738">
        <v>2780.6</v>
      </c>
      <c r="F738" t="s">
        <v>21</v>
      </c>
      <c r="G738" t="s">
        <v>21</v>
      </c>
      <c r="H738" t="s">
        <v>21</v>
      </c>
      <c r="I738" t="s">
        <v>21</v>
      </c>
      <c r="J738" t="s">
        <v>21</v>
      </c>
      <c r="K738" t="s">
        <v>21</v>
      </c>
      <c r="L738" t="s">
        <v>21</v>
      </c>
      <c r="M738" t="s">
        <v>21</v>
      </c>
      <c r="N738" t="s">
        <v>21</v>
      </c>
      <c r="O738" t="s">
        <v>21</v>
      </c>
      <c r="P738" t="s">
        <v>21</v>
      </c>
      <c r="Q738" t="s">
        <v>21</v>
      </c>
      <c r="R738">
        <v>2781.6</v>
      </c>
      <c r="S738">
        <v>2826.6</v>
      </c>
      <c r="T738">
        <v>2867.5</v>
      </c>
      <c r="U738">
        <v>2939.18</v>
      </c>
      <c r="V738">
        <v>2957.1</v>
      </c>
      <c r="W738">
        <v>3003.9</v>
      </c>
      <c r="X738">
        <v>3035.1</v>
      </c>
      <c r="Y738">
        <v>3063.54</v>
      </c>
      <c r="Z738">
        <v>3106.2</v>
      </c>
      <c r="AA738">
        <v>3119.5</v>
      </c>
      <c r="AB738">
        <v>3172.7</v>
      </c>
      <c r="AC738">
        <v>3236.2</v>
      </c>
      <c r="AD738">
        <v>3297.7</v>
      </c>
      <c r="AE738">
        <v>3358</v>
      </c>
      <c r="AF738">
        <v>3417.6</v>
      </c>
      <c r="AG738">
        <v>3476.6</v>
      </c>
      <c r="AH738">
        <v>3535.4</v>
      </c>
      <c r="AI738">
        <v>3594.1</v>
      </c>
      <c r="AJ738">
        <v>3652.9</v>
      </c>
      <c r="AK738">
        <v>3711.8</v>
      </c>
      <c r="AL738">
        <v>3770.7</v>
      </c>
    </row>
    <row r="739" spans="1:38" x14ac:dyDescent="0.3">
      <c r="A739">
        <v>6400</v>
      </c>
      <c r="B739">
        <v>279.79000000000002</v>
      </c>
      <c r="C739" t="s">
        <v>20</v>
      </c>
      <c r="D739">
        <v>3.0663999999999998</v>
      </c>
      <c r="E739">
        <v>5.8601000000000001</v>
      </c>
      <c r="F739" t="s">
        <v>21</v>
      </c>
      <c r="G739" t="s">
        <v>21</v>
      </c>
      <c r="H739" t="s">
        <v>21</v>
      </c>
      <c r="I739" t="s">
        <v>21</v>
      </c>
      <c r="J739" t="s">
        <v>21</v>
      </c>
      <c r="K739" t="s">
        <v>21</v>
      </c>
      <c r="L739" t="s">
        <v>21</v>
      </c>
      <c r="M739" t="s">
        <v>21</v>
      </c>
      <c r="N739" t="s">
        <v>21</v>
      </c>
      <c r="O739" t="s">
        <v>21</v>
      </c>
      <c r="P739" t="s">
        <v>21</v>
      </c>
      <c r="Q739" t="s">
        <v>21</v>
      </c>
      <c r="R739">
        <v>5.8619000000000003</v>
      </c>
      <c r="S739">
        <v>5.9424999999999999</v>
      </c>
      <c r="T739">
        <v>6.0144000000000002</v>
      </c>
      <c r="U739">
        <v>6.1368800000000006</v>
      </c>
      <c r="V739">
        <v>6.1675000000000004</v>
      </c>
      <c r="W739">
        <v>6.2443</v>
      </c>
      <c r="X739">
        <v>6.2954999999999997</v>
      </c>
      <c r="Y739">
        <v>6.3401799999999993</v>
      </c>
      <c r="Z739">
        <v>6.4071999999999996</v>
      </c>
      <c r="AA739">
        <v>6.4273400000000001</v>
      </c>
      <c r="AB739">
        <v>6.5079000000000002</v>
      </c>
      <c r="AC739">
        <v>6.6006</v>
      </c>
      <c r="AD739">
        <v>6.6871999999999998</v>
      </c>
      <c r="AE739">
        <v>6.7691999999999997</v>
      </c>
      <c r="AF739">
        <v>6.8475000000000001</v>
      </c>
      <c r="AG739">
        <v>6.9226000000000001</v>
      </c>
      <c r="AH739">
        <v>6.9951999999999996</v>
      </c>
      <c r="AI739">
        <v>7.0655000000000001</v>
      </c>
      <c r="AJ739">
        <v>7.1337000000000002</v>
      </c>
      <c r="AK739">
        <v>7.1993</v>
      </c>
      <c r="AL739">
        <v>7.2648999999999999</v>
      </c>
    </row>
    <row r="740" spans="1:38" x14ac:dyDescent="0.3">
      <c r="A740">
        <v>6500</v>
      </c>
      <c r="B740">
        <v>280.82</v>
      </c>
      <c r="C740" t="s">
        <v>0</v>
      </c>
      <c r="D740">
        <v>1.335</v>
      </c>
      <c r="E740">
        <v>29.719000000000001</v>
      </c>
      <c r="F740" t="s">
        <v>21</v>
      </c>
      <c r="G740" t="s">
        <v>21</v>
      </c>
      <c r="H740" t="s">
        <v>21</v>
      </c>
      <c r="I740" t="s">
        <v>21</v>
      </c>
      <c r="J740" t="s">
        <v>21</v>
      </c>
      <c r="K740" t="s">
        <v>21</v>
      </c>
      <c r="L740" t="s">
        <v>21</v>
      </c>
      <c r="M740" t="s">
        <v>21</v>
      </c>
      <c r="N740" t="s">
        <v>21</v>
      </c>
      <c r="O740" t="s">
        <v>21</v>
      </c>
      <c r="P740" t="s">
        <v>21</v>
      </c>
      <c r="Q740" t="s">
        <v>21</v>
      </c>
      <c r="R740" t="s">
        <v>21</v>
      </c>
      <c r="S740">
        <v>31.146000000000001</v>
      </c>
      <c r="T740">
        <v>32.567</v>
      </c>
      <c r="U740">
        <v>35.076599999999999</v>
      </c>
      <c r="V740">
        <v>35.704000000000001</v>
      </c>
      <c r="W740">
        <v>37.360600000000005</v>
      </c>
      <c r="X740">
        <v>38.465000000000003</v>
      </c>
      <c r="Y740">
        <v>39.476600000000005</v>
      </c>
      <c r="Z740">
        <v>40.994</v>
      </c>
      <c r="AA740">
        <v>41.468400000000003</v>
      </c>
      <c r="AB740">
        <v>43.366</v>
      </c>
      <c r="AC740">
        <v>45.628999999999998</v>
      </c>
      <c r="AD740">
        <v>47.811999999999998</v>
      </c>
      <c r="AE740">
        <v>49.935000000000002</v>
      </c>
      <c r="AF740">
        <v>52.012</v>
      </c>
      <c r="AG740">
        <v>54.052999999999997</v>
      </c>
      <c r="AH740">
        <v>56.064999999999998</v>
      </c>
      <c r="AI740">
        <v>58.052</v>
      </c>
      <c r="AJ740">
        <v>60.018000000000001</v>
      </c>
      <c r="AK740">
        <v>61.958000000000006</v>
      </c>
      <c r="AL740">
        <v>63.898000000000003</v>
      </c>
    </row>
    <row r="741" spans="1:38" x14ac:dyDescent="0.3">
      <c r="A741">
        <v>6500</v>
      </c>
      <c r="B741">
        <v>280.82</v>
      </c>
      <c r="C741" t="s">
        <v>18</v>
      </c>
      <c r="D741">
        <v>1232.5</v>
      </c>
      <c r="E741">
        <v>2586.3000000000002</v>
      </c>
      <c r="F741" t="s">
        <v>21</v>
      </c>
      <c r="G741" t="s">
        <v>21</v>
      </c>
      <c r="H741" t="s">
        <v>21</v>
      </c>
      <c r="I741" t="s">
        <v>21</v>
      </c>
      <c r="J741" t="s">
        <v>21</v>
      </c>
      <c r="K741" t="s">
        <v>21</v>
      </c>
      <c r="L741" t="s">
        <v>21</v>
      </c>
      <c r="M741" t="s">
        <v>21</v>
      </c>
      <c r="N741" t="s">
        <v>21</v>
      </c>
      <c r="O741" t="s">
        <v>21</v>
      </c>
      <c r="P741" t="s">
        <v>21</v>
      </c>
      <c r="Q741" t="s">
        <v>21</v>
      </c>
      <c r="R741" t="s">
        <v>21</v>
      </c>
      <c r="S741">
        <v>2619</v>
      </c>
      <c r="T741">
        <v>2651.2</v>
      </c>
      <c r="U741">
        <v>2707.52</v>
      </c>
      <c r="V741">
        <v>2721.6</v>
      </c>
      <c r="W741">
        <v>2758.08</v>
      </c>
      <c r="X741">
        <v>2782.4</v>
      </c>
      <c r="Y741">
        <v>2804.44</v>
      </c>
      <c r="Z741">
        <v>2837.5</v>
      </c>
      <c r="AA741">
        <v>2847.78</v>
      </c>
      <c r="AB741">
        <v>2888.9</v>
      </c>
      <c r="AC741">
        <v>2938</v>
      </c>
      <c r="AD741">
        <v>2985.5</v>
      </c>
      <c r="AE741">
        <v>3032.2</v>
      </c>
      <c r="AF741">
        <v>3078.3</v>
      </c>
      <c r="AG741">
        <v>3124.2</v>
      </c>
      <c r="AH741">
        <v>3170</v>
      </c>
      <c r="AI741">
        <v>3215.9</v>
      </c>
      <c r="AJ741">
        <v>3261.9</v>
      </c>
      <c r="AK741">
        <v>3308.25</v>
      </c>
      <c r="AL741">
        <v>3354.6</v>
      </c>
    </row>
    <row r="742" spans="1:38" x14ac:dyDescent="0.3">
      <c r="A742">
        <v>6500</v>
      </c>
      <c r="B742">
        <v>280.82</v>
      </c>
      <c r="C742" t="s">
        <v>19</v>
      </c>
      <c r="D742">
        <v>1241.0999999999999</v>
      </c>
      <c r="E742">
        <v>2779.5</v>
      </c>
      <c r="F742" t="s">
        <v>21</v>
      </c>
      <c r="G742" t="s">
        <v>21</v>
      </c>
      <c r="H742" t="s">
        <v>21</v>
      </c>
      <c r="I742" t="s">
        <v>21</v>
      </c>
      <c r="J742" t="s">
        <v>21</v>
      </c>
      <c r="K742" t="s">
        <v>21</v>
      </c>
      <c r="L742" t="s">
        <v>21</v>
      </c>
      <c r="M742" t="s">
        <v>21</v>
      </c>
      <c r="N742" t="s">
        <v>21</v>
      </c>
      <c r="O742" t="s">
        <v>21</v>
      </c>
      <c r="P742" t="s">
        <v>21</v>
      </c>
      <c r="Q742" t="s">
        <v>21</v>
      </c>
      <c r="R742" t="s">
        <v>21</v>
      </c>
      <c r="S742">
        <v>2821.4</v>
      </c>
      <c r="T742">
        <v>2862.9</v>
      </c>
      <c r="U742">
        <v>2935.54</v>
      </c>
      <c r="V742">
        <v>2953.7</v>
      </c>
      <c r="W742">
        <v>3000.92</v>
      </c>
      <c r="X742">
        <v>3032.4</v>
      </c>
      <c r="Y742">
        <v>3061</v>
      </c>
      <c r="Z742">
        <v>3103.9</v>
      </c>
      <c r="AA742">
        <v>3117.28</v>
      </c>
      <c r="AB742">
        <v>3170.8</v>
      </c>
      <c r="AC742">
        <v>3234.5</v>
      </c>
      <c r="AD742">
        <v>3296.3</v>
      </c>
      <c r="AE742">
        <v>3356.8</v>
      </c>
      <c r="AF742">
        <v>3416.4</v>
      </c>
      <c r="AG742">
        <v>3475.6</v>
      </c>
      <c r="AH742">
        <v>3534.4</v>
      </c>
      <c r="AI742">
        <v>3593.2</v>
      </c>
      <c r="AJ742">
        <v>3652.1</v>
      </c>
      <c r="AK742">
        <v>3711.05</v>
      </c>
      <c r="AL742">
        <v>3770</v>
      </c>
    </row>
    <row r="743" spans="1:38" x14ac:dyDescent="0.3">
      <c r="A743">
        <v>6500</v>
      </c>
      <c r="B743">
        <v>280.82</v>
      </c>
      <c r="C743" t="s">
        <v>20</v>
      </c>
      <c r="D743">
        <v>3.0758999999999999</v>
      </c>
      <c r="E743">
        <v>5.8526999999999996</v>
      </c>
      <c r="F743" t="s">
        <v>21</v>
      </c>
      <c r="G743" t="s">
        <v>21</v>
      </c>
      <c r="H743" t="s">
        <v>21</v>
      </c>
      <c r="I743" t="s">
        <v>21</v>
      </c>
      <c r="J743" t="s">
        <v>21</v>
      </c>
      <c r="K743" t="s">
        <v>21</v>
      </c>
      <c r="L743" t="s">
        <v>21</v>
      </c>
      <c r="M743" t="s">
        <v>21</v>
      </c>
      <c r="N743" t="s">
        <v>21</v>
      </c>
      <c r="O743" t="s">
        <v>21</v>
      </c>
      <c r="P743" t="s">
        <v>21</v>
      </c>
      <c r="Q743" t="s">
        <v>21</v>
      </c>
      <c r="R743" t="s">
        <v>21</v>
      </c>
      <c r="S743">
        <v>5.9276999999999997</v>
      </c>
      <c r="T743">
        <v>6.0007999999999999</v>
      </c>
      <c r="U743">
        <v>6.1248000000000005</v>
      </c>
      <c r="V743">
        <v>6.1558000000000002</v>
      </c>
      <c r="W743">
        <v>6.2332600000000005</v>
      </c>
      <c r="X743">
        <v>6.2849000000000004</v>
      </c>
      <c r="Y743">
        <v>6.3299000000000003</v>
      </c>
      <c r="Z743">
        <v>6.3974000000000002</v>
      </c>
      <c r="AA743">
        <v>6.4176400000000005</v>
      </c>
      <c r="AB743">
        <v>6.4985999999999997</v>
      </c>
      <c r="AC743">
        <v>6.5917000000000003</v>
      </c>
      <c r="AD743">
        <v>6.6786000000000003</v>
      </c>
      <c r="AE743">
        <v>6.7607999999999997</v>
      </c>
      <c r="AF743">
        <v>6.8391999999999999</v>
      </c>
      <c r="AG743">
        <v>6.9145000000000003</v>
      </c>
      <c r="AH743">
        <v>6.9870999999999999</v>
      </c>
      <c r="AI743">
        <v>7.0575000000000001</v>
      </c>
      <c r="AJ743">
        <v>7.1257999999999999</v>
      </c>
      <c r="AK743">
        <v>7.1914999999999996</v>
      </c>
      <c r="AL743">
        <v>7.2572000000000001</v>
      </c>
    </row>
    <row r="744" spans="1:38" x14ac:dyDescent="0.3">
      <c r="A744">
        <v>6600</v>
      </c>
      <c r="B744">
        <v>281.83999999999997</v>
      </c>
      <c r="C744" t="s">
        <v>0</v>
      </c>
      <c r="D744">
        <v>1.3380000000000001</v>
      </c>
      <c r="E744">
        <v>29.222999999999999</v>
      </c>
      <c r="F744" t="s">
        <v>21</v>
      </c>
      <c r="G744" t="s">
        <v>21</v>
      </c>
      <c r="H744" t="s">
        <v>21</v>
      </c>
      <c r="I744" t="s">
        <v>21</v>
      </c>
      <c r="J744" t="s">
        <v>21</v>
      </c>
      <c r="K744" t="s">
        <v>21</v>
      </c>
      <c r="L744" t="s">
        <v>21</v>
      </c>
      <c r="M744" t="s">
        <v>21</v>
      </c>
      <c r="N744" t="s">
        <v>21</v>
      </c>
      <c r="O744" t="s">
        <v>21</v>
      </c>
      <c r="P744" t="s">
        <v>21</v>
      </c>
      <c r="Q744" t="s">
        <v>21</v>
      </c>
      <c r="R744" t="s">
        <v>21</v>
      </c>
      <c r="S744">
        <v>30.49</v>
      </c>
      <c r="T744">
        <v>31.911000000000001</v>
      </c>
      <c r="U744">
        <v>34.412599999999998</v>
      </c>
      <c r="V744">
        <v>35.037999999999997</v>
      </c>
      <c r="W744">
        <v>36.683799999999998</v>
      </c>
      <c r="X744">
        <v>37.780999999999999</v>
      </c>
      <c r="Y744">
        <v>38.7834</v>
      </c>
      <c r="Z744">
        <v>40.286999999999999</v>
      </c>
      <c r="AA744">
        <v>40.756799999999998</v>
      </c>
      <c r="AB744">
        <v>42.636000000000003</v>
      </c>
      <c r="AC744">
        <v>44.874000000000002</v>
      </c>
      <c r="AD744">
        <v>47.030999999999999</v>
      </c>
      <c r="AE744">
        <v>49.128999999999998</v>
      </c>
      <c r="AF744">
        <v>51.18</v>
      </c>
      <c r="AG744">
        <v>53.194000000000003</v>
      </c>
      <c r="AH744">
        <v>55.179000000000002</v>
      </c>
      <c r="AI744">
        <v>57.139000000000003</v>
      </c>
      <c r="AJ744">
        <v>59.079000000000001</v>
      </c>
      <c r="AK744">
        <v>60.991999999999997</v>
      </c>
      <c r="AL744">
        <v>62.905000000000001</v>
      </c>
    </row>
    <row r="745" spans="1:38" x14ac:dyDescent="0.3">
      <c r="A745">
        <v>6600</v>
      </c>
      <c r="B745">
        <v>281.83999999999997</v>
      </c>
      <c r="C745" t="s">
        <v>18</v>
      </c>
      <c r="D745">
        <v>1237.5999999999999</v>
      </c>
      <c r="E745">
        <v>2585.5</v>
      </c>
      <c r="F745" t="s">
        <v>21</v>
      </c>
      <c r="G745" t="s">
        <v>21</v>
      </c>
      <c r="H745" t="s">
        <v>21</v>
      </c>
      <c r="I745" t="s">
        <v>21</v>
      </c>
      <c r="J745" t="s">
        <v>21</v>
      </c>
      <c r="K745" t="s">
        <v>21</v>
      </c>
      <c r="L745" t="s">
        <v>21</v>
      </c>
      <c r="M745" t="s">
        <v>21</v>
      </c>
      <c r="N745" t="s">
        <v>21</v>
      </c>
      <c r="O745" t="s">
        <v>21</v>
      </c>
      <c r="P745" t="s">
        <v>21</v>
      </c>
      <c r="Q745" t="s">
        <v>21</v>
      </c>
      <c r="R745" t="s">
        <v>21</v>
      </c>
      <c r="S745">
        <v>2614.9</v>
      </c>
      <c r="T745">
        <v>2647.7</v>
      </c>
      <c r="U745">
        <v>2704.74</v>
      </c>
      <c r="V745">
        <v>2719</v>
      </c>
      <c r="W745">
        <v>2755.84</v>
      </c>
      <c r="X745">
        <v>2780.4</v>
      </c>
      <c r="Y745">
        <v>2802.56</v>
      </c>
      <c r="Z745">
        <v>2835.8</v>
      </c>
      <c r="AA745">
        <v>2846.1400000000003</v>
      </c>
      <c r="AB745">
        <v>2887.5</v>
      </c>
      <c r="AC745">
        <v>2936.7</v>
      </c>
      <c r="AD745">
        <v>2984.5</v>
      </c>
      <c r="AE745">
        <v>3031.2</v>
      </c>
      <c r="AF745">
        <v>3077.4</v>
      </c>
      <c r="AG745">
        <v>3123.4</v>
      </c>
      <c r="AH745">
        <v>3169.3</v>
      </c>
      <c r="AI745">
        <v>3215.2</v>
      </c>
      <c r="AJ745">
        <v>3261.3</v>
      </c>
      <c r="AK745">
        <v>3307.7</v>
      </c>
      <c r="AL745">
        <v>3354.1</v>
      </c>
    </row>
    <row r="746" spans="1:38" x14ac:dyDescent="0.3">
      <c r="A746">
        <v>6600</v>
      </c>
      <c r="B746">
        <v>281.83999999999997</v>
      </c>
      <c r="C746" t="s">
        <v>19</v>
      </c>
      <c r="D746">
        <v>1246.5</v>
      </c>
      <c r="E746">
        <v>2778.3</v>
      </c>
      <c r="F746" t="s">
        <v>21</v>
      </c>
      <c r="G746" t="s">
        <v>21</v>
      </c>
      <c r="H746" t="s">
        <v>21</v>
      </c>
      <c r="I746" t="s">
        <v>21</v>
      </c>
      <c r="J746" t="s">
        <v>21</v>
      </c>
      <c r="K746" t="s">
        <v>21</v>
      </c>
      <c r="L746" t="s">
        <v>21</v>
      </c>
      <c r="M746" t="s">
        <v>21</v>
      </c>
      <c r="N746" t="s">
        <v>21</v>
      </c>
      <c r="O746" t="s">
        <v>21</v>
      </c>
      <c r="P746" t="s">
        <v>21</v>
      </c>
      <c r="Q746" t="s">
        <v>21</v>
      </c>
      <c r="R746" t="s">
        <v>21</v>
      </c>
      <c r="S746">
        <v>2816.1</v>
      </c>
      <c r="T746">
        <v>2858.4</v>
      </c>
      <c r="U746">
        <v>2931.8399999999997</v>
      </c>
      <c r="V746">
        <v>2950.2</v>
      </c>
      <c r="W746">
        <v>2997.8999999999996</v>
      </c>
      <c r="X746">
        <v>3029.7</v>
      </c>
      <c r="Y746">
        <v>3058.5</v>
      </c>
      <c r="Z746">
        <v>3101.7</v>
      </c>
      <c r="AA746">
        <v>3115.14</v>
      </c>
      <c r="AB746">
        <v>3168.9</v>
      </c>
      <c r="AC746">
        <v>3232.9</v>
      </c>
      <c r="AD746">
        <v>3294.9</v>
      </c>
      <c r="AE746">
        <v>3355.5</v>
      </c>
      <c r="AF746">
        <v>3415.2</v>
      </c>
      <c r="AG746">
        <v>3474.5</v>
      </c>
      <c r="AH746">
        <v>3533.5</v>
      </c>
      <c r="AI746">
        <v>3592.3</v>
      </c>
      <c r="AJ746">
        <v>3651.2</v>
      </c>
      <c r="AK746">
        <v>3710.2</v>
      </c>
      <c r="AL746">
        <v>3769.2</v>
      </c>
    </row>
    <row r="747" spans="1:38" x14ac:dyDescent="0.3">
      <c r="A747">
        <v>6600</v>
      </c>
      <c r="B747">
        <v>281.83999999999997</v>
      </c>
      <c r="C747" t="s">
        <v>20</v>
      </c>
      <c r="D747">
        <v>3.0853000000000002</v>
      </c>
      <c r="E747">
        <v>5.8452000000000002</v>
      </c>
      <c r="F747" t="s">
        <v>21</v>
      </c>
      <c r="G747" t="s">
        <v>21</v>
      </c>
      <c r="H747" t="s">
        <v>21</v>
      </c>
      <c r="I747" t="s">
        <v>21</v>
      </c>
      <c r="J747" t="s">
        <v>21</v>
      </c>
      <c r="K747" t="s">
        <v>21</v>
      </c>
      <c r="L747" t="s">
        <v>21</v>
      </c>
      <c r="M747" t="s">
        <v>21</v>
      </c>
      <c r="N747" t="s">
        <v>21</v>
      </c>
      <c r="O747" t="s">
        <v>21</v>
      </c>
      <c r="P747" t="s">
        <v>21</v>
      </c>
      <c r="Q747" t="s">
        <v>21</v>
      </c>
      <c r="R747" t="s">
        <v>21</v>
      </c>
      <c r="S747">
        <v>5.9128999999999996</v>
      </c>
      <c r="T747">
        <v>5.9871999999999996</v>
      </c>
      <c r="U747">
        <v>6.1128</v>
      </c>
      <c r="V747">
        <v>6.1441999999999997</v>
      </c>
      <c r="W747">
        <v>6.2223199999999999</v>
      </c>
      <c r="X747">
        <v>6.2744</v>
      </c>
      <c r="Y747">
        <v>6.3197200000000002</v>
      </c>
      <c r="Z747">
        <v>6.3876999999999997</v>
      </c>
      <c r="AA747">
        <v>6.4080399999999997</v>
      </c>
      <c r="AB747">
        <v>6.4893999999999998</v>
      </c>
      <c r="AC747">
        <v>6.5827999999999998</v>
      </c>
      <c r="AD747">
        <v>6.67</v>
      </c>
      <c r="AE747">
        <v>6.7523999999999997</v>
      </c>
      <c r="AF747">
        <v>6.8310000000000004</v>
      </c>
      <c r="AG747">
        <v>6.9063999999999997</v>
      </c>
      <c r="AH747">
        <v>6.9791999999999996</v>
      </c>
      <c r="AI747">
        <v>7.0496999999999996</v>
      </c>
      <c r="AJ747">
        <v>7.1181000000000001</v>
      </c>
      <c r="AK747">
        <v>7.1837999999999997</v>
      </c>
      <c r="AL747">
        <v>7.2495000000000003</v>
      </c>
    </row>
    <row r="748" spans="1:38" x14ac:dyDescent="0.3">
      <c r="A748">
        <v>6700</v>
      </c>
      <c r="B748">
        <v>282.83999999999997</v>
      </c>
      <c r="C748" t="s">
        <v>0</v>
      </c>
      <c r="D748">
        <v>1.3420000000000001</v>
      </c>
      <c r="E748">
        <v>28.741</v>
      </c>
      <c r="F748" t="s">
        <v>21</v>
      </c>
      <c r="G748" t="s">
        <v>21</v>
      </c>
      <c r="H748" t="s">
        <v>21</v>
      </c>
      <c r="I748" t="s">
        <v>21</v>
      </c>
      <c r="J748" t="s">
        <v>21</v>
      </c>
      <c r="K748" t="s">
        <v>21</v>
      </c>
      <c r="L748" t="s">
        <v>21</v>
      </c>
      <c r="M748" t="s">
        <v>21</v>
      </c>
      <c r="N748" t="s">
        <v>21</v>
      </c>
      <c r="O748" t="s">
        <v>21</v>
      </c>
      <c r="P748" t="s">
        <v>21</v>
      </c>
      <c r="Q748" t="s">
        <v>21</v>
      </c>
      <c r="R748" t="s">
        <v>21</v>
      </c>
      <c r="S748">
        <v>29.85</v>
      </c>
      <c r="T748">
        <v>31.273</v>
      </c>
      <c r="U748">
        <v>33.767399999999995</v>
      </c>
      <c r="V748">
        <v>34.390999999999998</v>
      </c>
      <c r="W748">
        <v>36.025999999999996</v>
      </c>
      <c r="X748">
        <v>37.116</v>
      </c>
      <c r="Y748">
        <v>38.11</v>
      </c>
      <c r="Z748">
        <v>39.600999999999999</v>
      </c>
      <c r="AA748">
        <v>40.066200000000002</v>
      </c>
      <c r="AB748">
        <v>41.927</v>
      </c>
      <c r="AC748">
        <v>44.140999999999998</v>
      </c>
      <c r="AD748">
        <v>46.274000000000001</v>
      </c>
      <c r="AE748">
        <v>48.345999999999997</v>
      </c>
      <c r="AF748">
        <v>50.372</v>
      </c>
      <c r="AG748">
        <v>52.360999999999997</v>
      </c>
      <c r="AH748">
        <v>54.32</v>
      </c>
      <c r="AI748">
        <v>56.253999999999998</v>
      </c>
      <c r="AJ748">
        <v>58.167999999999999</v>
      </c>
      <c r="AK748">
        <v>60.055</v>
      </c>
      <c r="AL748">
        <v>61.942</v>
      </c>
    </row>
    <row r="749" spans="1:38" x14ac:dyDescent="0.3">
      <c r="A749">
        <v>6700</v>
      </c>
      <c r="B749">
        <v>282.83999999999997</v>
      </c>
      <c r="C749" t="s">
        <v>18</v>
      </c>
      <c r="D749">
        <v>1242.8</v>
      </c>
      <c r="E749">
        <v>2584.6</v>
      </c>
      <c r="F749" t="s">
        <v>21</v>
      </c>
      <c r="G749" t="s">
        <v>21</v>
      </c>
      <c r="H749" t="s">
        <v>21</v>
      </c>
      <c r="I749" t="s">
        <v>21</v>
      </c>
      <c r="J749" t="s">
        <v>21</v>
      </c>
      <c r="K749" t="s">
        <v>21</v>
      </c>
      <c r="L749" t="s">
        <v>21</v>
      </c>
      <c r="M749" t="s">
        <v>21</v>
      </c>
      <c r="N749" t="s">
        <v>21</v>
      </c>
      <c r="O749" t="s">
        <v>21</v>
      </c>
      <c r="P749" t="s">
        <v>21</v>
      </c>
      <c r="Q749" t="s">
        <v>21</v>
      </c>
      <c r="R749" t="s">
        <v>21</v>
      </c>
      <c r="S749">
        <v>2610.8000000000002</v>
      </c>
      <c r="T749">
        <v>2644.2</v>
      </c>
      <c r="U749">
        <v>2701.96</v>
      </c>
      <c r="V749">
        <v>2716.4</v>
      </c>
      <c r="W749">
        <v>2753.54</v>
      </c>
      <c r="X749">
        <v>2778.3</v>
      </c>
      <c r="Y749">
        <v>2800.62</v>
      </c>
      <c r="Z749">
        <v>2834.1</v>
      </c>
      <c r="AA749">
        <v>2844.5</v>
      </c>
      <c r="AB749">
        <v>2886.1</v>
      </c>
      <c r="AC749">
        <v>2935.5</v>
      </c>
      <c r="AD749">
        <v>2983.4</v>
      </c>
      <c r="AE749">
        <v>3030.3</v>
      </c>
      <c r="AF749">
        <v>3076.6</v>
      </c>
      <c r="AG749">
        <v>3122.6</v>
      </c>
      <c r="AH749">
        <v>3168.6</v>
      </c>
      <c r="AI749">
        <v>3214.5</v>
      </c>
      <c r="AJ749">
        <v>3260.7</v>
      </c>
      <c r="AK749">
        <v>3307.1</v>
      </c>
      <c r="AL749">
        <v>3353.5</v>
      </c>
    </row>
    <row r="750" spans="1:38" x14ac:dyDescent="0.3">
      <c r="A750">
        <v>6700</v>
      </c>
      <c r="B750">
        <v>282.83999999999997</v>
      </c>
      <c r="C750" t="s">
        <v>19</v>
      </c>
      <c r="D750">
        <v>1251.8</v>
      </c>
      <c r="E750">
        <v>2777.1</v>
      </c>
      <c r="F750" t="s">
        <v>21</v>
      </c>
      <c r="G750" t="s">
        <v>21</v>
      </c>
      <c r="H750" t="s">
        <v>21</v>
      </c>
      <c r="I750" t="s">
        <v>21</v>
      </c>
      <c r="J750" t="s">
        <v>21</v>
      </c>
      <c r="K750" t="s">
        <v>21</v>
      </c>
      <c r="L750" t="s">
        <v>21</v>
      </c>
      <c r="M750" t="s">
        <v>21</v>
      </c>
      <c r="N750" t="s">
        <v>21</v>
      </c>
      <c r="O750" t="s">
        <v>21</v>
      </c>
      <c r="P750" t="s">
        <v>21</v>
      </c>
      <c r="Q750" t="s">
        <v>21</v>
      </c>
      <c r="R750" t="s">
        <v>21</v>
      </c>
      <c r="S750">
        <v>2810.8</v>
      </c>
      <c r="T750">
        <v>2853.7</v>
      </c>
      <c r="U750">
        <v>2928.1800000000003</v>
      </c>
      <c r="V750">
        <v>2946.8</v>
      </c>
      <c r="W750">
        <v>2994.92</v>
      </c>
      <c r="X750">
        <v>3027</v>
      </c>
      <c r="Y750">
        <v>3056</v>
      </c>
      <c r="Z750">
        <v>3099.5</v>
      </c>
      <c r="AA750">
        <v>3113</v>
      </c>
      <c r="AB750">
        <v>3167</v>
      </c>
      <c r="AC750">
        <v>3231.3</v>
      </c>
      <c r="AD750">
        <v>3293.4</v>
      </c>
      <c r="AE750">
        <v>3354.2</v>
      </c>
      <c r="AF750">
        <v>3414.1</v>
      </c>
      <c r="AG750">
        <v>3473.4</v>
      </c>
      <c r="AH750">
        <v>3532.5</v>
      </c>
      <c r="AI750">
        <v>3591.4</v>
      </c>
      <c r="AJ750">
        <v>3650.4</v>
      </c>
      <c r="AK750">
        <v>3709.45</v>
      </c>
      <c r="AL750">
        <v>3768.5</v>
      </c>
    </row>
    <row r="751" spans="1:38" x14ac:dyDescent="0.3">
      <c r="A751">
        <v>6700</v>
      </c>
      <c r="B751">
        <v>282.83999999999997</v>
      </c>
      <c r="C751" t="s">
        <v>20</v>
      </c>
      <c r="D751">
        <v>3.0945999999999998</v>
      </c>
      <c r="E751">
        <v>5.8379000000000003</v>
      </c>
      <c r="F751" t="s">
        <v>21</v>
      </c>
      <c r="G751" t="s">
        <v>21</v>
      </c>
      <c r="H751" t="s">
        <v>21</v>
      </c>
      <c r="I751" t="s">
        <v>21</v>
      </c>
      <c r="J751" t="s">
        <v>21</v>
      </c>
      <c r="K751" t="s">
        <v>21</v>
      </c>
      <c r="L751" t="s">
        <v>21</v>
      </c>
      <c r="M751" t="s">
        <v>21</v>
      </c>
      <c r="N751" t="s">
        <v>21</v>
      </c>
      <c r="O751" t="s">
        <v>21</v>
      </c>
      <c r="P751" t="s">
        <v>21</v>
      </c>
      <c r="Q751" t="s">
        <v>21</v>
      </c>
      <c r="R751" t="s">
        <v>21</v>
      </c>
      <c r="S751">
        <v>5.8979999999999997</v>
      </c>
      <c r="T751">
        <v>5.9736000000000002</v>
      </c>
      <c r="U751">
        <v>6.1008000000000004</v>
      </c>
      <c r="V751">
        <v>6.1326000000000001</v>
      </c>
      <c r="W751">
        <v>6.2114400000000005</v>
      </c>
      <c r="X751">
        <v>6.2640000000000002</v>
      </c>
      <c r="Y751">
        <v>6.3096399999999999</v>
      </c>
      <c r="Z751">
        <v>6.3780999999999999</v>
      </c>
      <c r="AA751">
        <v>6.3985399999999997</v>
      </c>
      <c r="AB751">
        <v>6.4802999999999997</v>
      </c>
      <c r="AC751">
        <v>6.5740999999999996</v>
      </c>
      <c r="AD751">
        <v>6.6616</v>
      </c>
      <c r="AE751">
        <v>6.7442000000000002</v>
      </c>
      <c r="AF751">
        <v>6.8228999999999997</v>
      </c>
      <c r="AG751">
        <v>6.8985000000000003</v>
      </c>
      <c r="AH751">
        <v>6.9714</v>
      </c>
      <c r="AI751">
        <v>7.0419</v>
      </c>
      <c r="AJ751">
        <v>7.1104000000000003</v>
      </c>
      <c r="AK751">
        <v>7.1761999999999997</v>
      </c>
      <c r="AL751">
        <v>7.242</v>
      </c>
    </row>
    <row r="752" spans="1:38" x14ac:dyDescent="0.3">
      <c r="A752">
        <v>6800</v>
      </c>
      <c r="B752">
        <v>283.83999999999997</v>
      </c>
      <c r="C752" t="s">
        <v>0</v>
      </c>
      <c r="D752">
        <v>1.345</v>
      </c>
      <c r="E752">
        <v>28.271999999999998</v>
      </c>
      <c r="F752" t="s">
        <v>21</v>
      </c>
      <c r="G752" t="s">
        <v>21</v>
      </c>
      <c r="H752" t="s">
        <v>21</v>
      </c>
      <c r="I752" t="s">
        <v>21</v>
      </c>
      <c r="J752" t="s">
        <v>21</v>
      </c>
      <c r="K752" t="s">
        <v>21</v>
      </c>
      <c r="L752" t="s">
        <v>21</v>
      </c>
      <c r="M752" t="s">
        <v>21</v>
      </c>
      <c r="N752" t="s">
        <v>21</v>
      </c>
      <c r="O752" t="s">
        <v>21</v>
      </c>
      <c r="P752" t="s">
        <v>21</v>
      </c>
      <c r="Q752" t="s">
        <v>21</v>
      </c>
      <c r="R752" t="s">
        <v>21</v>
      </c>
      <c r="S752">
        <v>29.225999999999999</v>
      </c>
      <c r="T752">
        <v>30.652000000000001</v>
      </c>
      <c r="U752">
        <v>33.14</v>
      </c>
      <c r="V752">
        <v>33.762</v>
      </c>
      <c r="W752">
        <v>35.386800000000001</v>
      </c>
      <c r="X752">
        <v>36.47</v>
      </c>
      <c r="Y752">
        <v>37.456000000000003</v>
      </c>
      <c r="Z752">
        <v>38.935000000000002</v>
      </c>
      <c r="AA752">
        <v>39.395800000000001</v>
      </c>
      <c r="AB752">
        <v>41.238999999999997</v>
      </c>
      <c r="AC752">
        <v>43.43</v>
      </c>
      <c r="AD752">
        <v>45.539000000000001</v>
      </c>
      <c r="AE752">
        <v>47.587000000000003</v>
      </c>
      <c r="AF752">
        <v>49.588000000000001</v>
      </c>
      <c r="AG752">
        <v>51.552</v>
      </c>
      <c r="AH752">
        <v>53.485999999999997</v>
      </c>
      <c r="AI752">
        <v>55.395000000000003</v>
      </c>
      <c r="AJ752">
        <v>57.283000000000001</v>
      </c>
      <c r="AK752">
        <v>59.144999999999996</v>
      </c>
      <c r="AL752">
        <v>61.006999999999998</v>
      </c>
    </row>
    <row r="753" spans="1:38" x14ac:dyDescent="0.3">
      <c r="A753">
        <v>6800</v>
      </c>
      <c r="B753">
        <v>283.83999999999997</v>
      </c>
      <c r="C753" t="s">
        <v>18</v>
      </c>
      <c r="D753">
        <v>1247.9000000000001</v>
      </c>
      <c r="E753">
        <v>2583.6999999999998</v>
      </c>
      <c r="F753" t="s">
        <v>21</v>
      </c>
      <c r="G753" t="s">
        <v>21</v>
      </c>
      <c r="H753" t="s">
        <v>21</v>
      </c>
      <c r="I753" t="s">
        <v>21</v>
      </c>
      <c r="J753" t="s">
        <v>21</v>
      </c>
      <c r="K753" t="s">
        <v>21</v>
      </c>
      <c r="L753" t="s">
        <v>21</v>
      </c>
      <c r="M753" t="s">
        <v>21</v>
      </c>
      <c r="N753" t="s">
        <v>21</v>
      </c>
      <c r="O753" t="s">
        <v>21</v>
      </c>
      <c r="P753" t="s">
        <v>21</v>
      </c>
      <c r="Q753" t="s">
        <v>21</v>
      </c>
      <c r="R753" t="s">
        <v>21</v>
      </c>
      <c r="S753">
        <v>2606.6</v>
      </c>
      <c r="T753">
        <v>2640.6</v>
      </c>
      <c r="U753">
        <v>2699.08</v>
      </c>
      <c r="V753">
        <v>2713.7</v>
      </c>
      <c r="W753">
        <v>2751.2</v>
      </c>
      <c r="X753">
        <v>2776.2</v>
      </c>
      <c r="Y753">
        <v>2798.68</v>
      </c>
      <c r="Z753">
        <v>2832.4</v>
      </c>
      <c r="AA753">
        <v>2842.86</v>
      </c>
      <c r="AB753">
        <v>2884.7</v>
      </c>
      <c r="AC753">
        <v>2934.3</v>
      </c>
      <c r="AD753">
        <v>2982.3</v>
      </c>
      <c r="AE753">
        <v>3029.3</v>
      </c>
      <c r="AF753">
        <v>3075.7</v>
      </c>
      <c r="AG753">
        <v>3121.8</v>
      </c>
      <c r="AH753">
        <v>3167.8</v>
      </c>
      <c r="AI753">
        <v>3213.9</v>
      </c>
      <c r="AJ753">
        <v>3260</v>
      </c>
      <c r="AK753">
        <v>3306.5</v>
      </c>
      <c r="AL753">
        <v>3353</v>
      </c>
    </row>
    <row r="754" spans="1:38" x14ac:dyDescent="0.3">
      <c r="A754">
        <v>6800</v>
      </c>
      <c r="B754">
        <v>283.83999999999997</v>
      </c>
      <c r="C754" t="s">
        <v>19</v>
      </c>
      <c r="D754">
        <v>1257</v>
      </c>
      <c r="E754">
        <v>2775.9</v>
      </c>
      <c r="F754" t="s">
        <v>21</v>
      </c>
      <c r="G754" t="s">
        <v>21</v>
      </c>
      <c r="H754" t="s">
        <v>21</v>
      </c>
      <c r="I754" t="s">
        <v>21</v>
      </c>
      <c r="J754" t="s">
        <v>21</v>
      </c>
      <c r="K754" t="s">
        <v>21</v>
      </c>
      <c r="L754" t="s">
        <v>21</v>
      </c>
      <c r="M754" t="s">
        <v>21</v>
      </c>
      <c r="N754" t="s">
        <v>21</v>
      </c>
      <c r="O754" t="s">
        <v>21</v>
      </c>
      <c r="P754" t="s">
        <v>21</v>
      </c>
      <c r="Q754" t="s">
        <v>21</v>
      </c>
      <c r="R754" t="s">
        <v>21</v>
      </c>
      <c r="S754">
        <v>2805.3</v>
      </c>
      <c r="T754">
        <v>2849</v>
      </c>
      <c r="U754">
        <v>2924.44</v>
      </c>
      <c r="V754">
        <v>2943.3</v>
      </c>
      <c r="W754">
        <v>2991.84</v>
      </c>
      <c r="X754">
        <v>3024.2</v>
      </c>
      <c r="Y754">
        <v>3053.3999999999996</v>
      </c>
      <c r="Z754">
        <v>3097.2</v>
      </c>
      <c r="AA754">
        <v>3110.7799999999997</v>
      </c>
      <c r="AB754">
        <v>3165.1</v>
      </c>
      <c r="AC754">
        <v>3229.6</v>
      </c>
      <c r="AD754">
        <v>3292</v>
      </c>
      <c r="AE754">
        <v>3352.9</v>
      </c>
      <c r="AF754">
        <v>3412.9</v>
      </c>
      <c r="AG754">
        <v>3472.4</v>
      </c>
      <c r="AH754">
        <v>3531.5</v>
      </c>
      <c r="AI754">
        <v>3590.5</v>
      </c>
      <c r="AJ754">
        <v>3649.6</v>
      </c>
      <c r="AK754">
        <v>3708.7000000000003</v>
      </c>
      <c r="AL754">
        <v>3767.8</v>
      </c>
    </row>
    <row r="755" spans="1:38" x14ac:dyDescent="0.3">
      <c r="A755">
        <v>6800</v>
      </c>
      <c r="B755">
        <v>283.83999999999997</v>
      </c>
      <c r="C755" t="s">
        <v>20</v>
      </c>
      <c r="D755">
        <v>3.1038000000000001</v>
      </c>
      <c r="E755">
        <v>5.8305999999999996</v>
      </c>
      <c r="F755" t="s">
        <v>21</v>
      </c>
      <c r="G755" t="s">
        <v>21</v>
      </c>
      <c r="H755" t="s">
        <v>21</v>
      </c>
      <c r="I755" t="s">
        <v>21</v>
      </c>
      <c r="J755" t="s">
        <v>21</v>
      </c>
      <c r="K755" t="s">
        <v>21</v>
      </c>
      <c r="L755" t="s">
        <v>21</v>
      </c>
      <c r="M755" t="s">
        <v>21</v>
      </c>
      <c r="N755" t="s">
        <v>21</v>
      </c>
      <c r="O755" t="s">
        <v>21</v>
      </c>
      <c r="P755" t="s">
        <v>21</v>
      </c>
      <c r="Q755" t="s">
        <v>21</v>
      </c>
      <c r="R755" t="s">
        <v>21</v>
      </c>
      <c r="S755">
        <v>5.883</v>
      </c>
      <c r="T755">
        <v>5.9599000000000002</v>
      </c>
      <c r="U755">
        <v>6.0888600000000004</v>
      </c>
      <c r="V755">
        <v>6.1211000000000002</v>
      </c>
      <c r="W755">
        <v>6.2006600000000001</v>
      </c>
      <c r="X755">
        <v>6.2537000000000003</v>
      </c>
      <c r="Y755">
        <v>6.2996600000000003</v>
      </c>
      <c r="Z755">
        <v>6.3685999999999998</v>
      </c>
      <c r="AA755">
        <v>6.3891400000000003</v>
      </c>
      <c r="AB755">
        <v>6.4713000000000003</v>
      </c>
      <c r="AC755">
        <v>6.5655000000000001</v>
      </c>
      <c r="AD755">
        <v>6.6532</v>
      </c>
      <c r="AE755">
        <v>6.7361000000000004</v>
      </c>
      <c r="AF755">
        <v>6.8150000000000004</v>
      </c>
      <c r="AG755">
        <v>6.8906999999999998</v>
      </c>
      <c r="AH755">
        <v>6.9635999999999996</v>
      </c>
      <c r="AI755">
        <v>7.0343</v>
      </c>
      <c r="AJ755">
        <v>7.1028000000000002</v>
      </c>
      <c r="AK755">
        <v>7.1686499999999995</v>
      </c>
      <c r="AL755">
        <v>7.2344999999999997</v>
      </c>
    </row>
    <row r="756" spans="1:38" x14ac:dyDescent="0.3">
      <c r="A756">
        <v>7000</v>
      </c>
      <c r="B756">
        <v>285.79000000000002</v>
      </c>
      <c r="C756" t="s">
        <v>0</v>
      </c>
      <c r="D756">
        <v>1.351</v>
      </c>
      <c r="E756">
        <v>27.373000000000001</v>
      </c>
      <c r="F756" t="s">
        <v>21</v>
      </c>
      <c r="G756" t="s">
        <v>21</v>
      </c>
      <c r="H756" t="s">
        <v>21</v>
      </c>
      <c r="I756" t="s">
        <v>21</v>
      </c>
      <c r="J756" t="s">
        <v>21</v>
      </c>
      <c r="K756" t="s">
        <v>21</v>
      </c>
      <c r="L756" t="s">
        <v>21</v>
      </c>
      <c r="M756" t="s">
        <v>21</v>
      </c>
      <c r="N756" t="s">
        <v>21</v>
      </c>
      <c r="O756" t="s">
        <v>21</v>
      </c>
      <c r="P756" t="s">
        <v>21</v>
      </c>
      <c r="Q756" t="s">
        <v>21</v>
      </c>
      <c r="R756" t="s">
        <v>21</v>
      </c>
      <c r="S756">
        <v>28.024000000000001</v>
      </c>
      <c r="T756">
        <v>29.457000000000001</v>
      </c>
      <c r="U756">
        <v>31.936199999999999</v>
      </c>
      <c r="V756">
        <v>32.555999999999997</v>
      </c>
      <c r="W756">
        <v>34.162199999999999</v>
      </c>
      <c r="X756">
        <v>35.232999999999997</v>
      </c>
      <c r="Y756">
        <v>36.203799999999994</v>
      </c>
      <c r="Z756">
        <v>37.659999999999997</v>
      </c>
      <c r="AA756">
        <v>38.112399999999994</v>
      </c>
      <c r="AB756">
        <v>39.921999999999997</v>
      </c>
      <c r="AC756">
        <v>42.067999999999998</v>
      </c>
      <c r="AD756">
        <v>44.131</v>
      </c>
      <c r="AE756">
        <v>46.133000000000003</v>
      </c>
      <c r="AF756">
        <v>48.085999999999999</v>
      </c>
      <c r="AG756">
        <v>50.003</v>
      </c>
      <c r="AH756">
        <v>51.889000000000003</v>
      </c>
      <c r="AI756">
        <v>53.75</v>
      </c>
      <c r="AJ756">
        <v>55.59</v>
      </c>
      <c r="AK756">
        <v>57.403500000000001</v>
      </c>
      <c r="AL756">
        <v>59.216999999999999</v>
      </c>
    </row>
    <row r="757" spans="1:38" x14ac:dyDescent="0.3">
      <c r="A757">
        <v>7000</v>
      </c>
      <c r="B757">
        <v>285.79000000000002</v>
      </c>
      <c r="C757" t="s">
        <v>18</v>
      </c>
      <c r="D757">
        <v>1258</v>
      </c>
      <c r="E757">
        <v>2581.8000000000002</v>
      </c>
      <c r="F757" t="s">
        <v>21</v>
      </c>
      <c r="G757" t="s">
        <v>21</v>
      </c>
      <c r="H757" t="s">
        <v>21</v>
      </c>
      <c r="I757" t="s">
        <v>21</v>
      </c>
      <c r="J757" t="s">
        <v>21</v>
      </c>
      <c r="K757" t="s">
        <v>21</v>
      </c>
      <c r="L757" t="s">
        <v>21</v>
      </c>
      <c r="M757" t="s">
        <v>21</v>
      </c>
      <c r="N757" t="s">
        <v>21</v>
      </c>
      <c r="O757" t="s">
        <v>21</v>
      </c>
      <c r="P757" t="s">
        <v>21</v>
      </c>
      <c r="Q757" t="s">
        <v>21</v>
      </c>
      <c r="R757" t="s">
        <v>21</v>
      </c>
      <c r="S757">
        <v>2597.9</v>
      </c>
      <c r="T757">
        <v>2633.2</v>
      </c>
      <c r="U757">
        <v>2693.36</v>
      </c>
      <c r="V757">
        <v>2708.4</v>
      </c>
      <c r="W757">
        <v>2746.62</v>
      </c>
      <c r="X757">
        <v>2772.1</v>
      </c>
      <c r="Y757">
        <v>2794.86</v>
      </c>
      <c r="Z757">
        <v>2829</v>
      </c>
      <c r="AA757">
        <v>2839.56</v>
      </c>
      <c r="AB757">
        <v>2881.8</v>
      </c>
      <c r="AC757">
        <v>2931.8</v>
      </c>
      <c r="AD757">
        <v>2980.1</v>
      </c>
      <c r="AE757">
        <v>3027.4</v>
      </c>
      <c r="AF757">
        <v>3074</v>
      </c>
      <c r="AG757">
        <v>3120.2</v>
      </c>
      <c r="AH757">
        <v>3166.3</v>
      </c>
      <c r="AI757">
        <v>3212.5</v>
      </c>
      <c r="AJ757">
        <v>3258.8</v>
      </c>
      <c r="AK757">
        <v>3305.3500000000004</v>
      </c>
      <c r="AL757">
        <v>3351.9</v>
      </c>
    </row>
    <row r="758" spans="1:38" x14ac:dyDescent="0.3">
      <c r="A758">
        <v>7000</v>
      </c>
      <c r="B758">
        <v>285.79000000000002</v>
      </c>
      <c r="C758" t="s">
        <v>19</v>
      </c>
      <c r="D758">
        <v>1267.4000000000001</v>
      </c>
      <c r="E758">
        <v>2773.5</v>
      </c>
      <c r="F758" t="s">
        <v>21</v>
      </c>
      <c r="G758" t="s">
        <v>21</v>
      </c>
      <c r="H758" t="s">
        <v>21</v>
      </c>
      <c r="I758" t="s">
        <v>21</v>
      </c>
      <c r="J758" t="s">
        <v>21</v>
      </c>
      <c r="K758" t="s">
        <v>21</v>
      </c>
      <c r="L758" t="s">
        <v>21</v>
      </c>
      <c r="M758" t="s">
        <v>21</v>
      </c>
      <c r="N758" t="s">
        <v>21</v>
      </c>
      <c r="O758" t="s">
        <v>21</v>
      </c>
      <c r="P758" t="s">
        <v>21</v>
      </c>
      <c r="Q758" t="s">
        <v>21</v>
      </c>
      <c r="R758" t="s">
        <v>21</v>
      </c>
      <c r="S758">
        <v>2794.1</v>
      </c>
      <c r="T758">
        <v>2839.4</v>
      </c>
      <c r="U758">
        <v>2916.92</v>
      </c>
      <c r="V758">
        <v>2936.3</v>
      </c>
      <c r="W758">
        <v>2985.74</v>
      </c>
      <c r="X758">
        <v>3018.7</v>
      </c>
      <c r="Y758">
        <v>3048.2999999999997</v>
      </c>
      <c r="Z758">
        <v>3092.7</v>
      </c>
      <c r="AA758">
        <v>3106.3999999999996</v>
      </c>
      <c r="AB758">
        <v>3161.2</v>
      </c>
      <c r="AC758">
        <v>3226.3</v>
      </c>
      <c r="AD758">
        <v>3289.1</v>
      </c>
      <c r="AE758">
        <v>3350.3</v>
      </c>
      <c r="AF758">
        <v>3410.6</v>
      </c>
      <c r="AG758">
        <v>3470.2</v>
      </c>
      <c r="AH758">
        <v>3529.6</v>
      </c>
      <c r="AI758">
        <v>3588.7</v>
      </c>
      <c r="AJ758">
        <v>3647.9</v>
      </c>
      <c r="AK758">
        <v>3707.15</v>
      </c>
      <c r="AL758">
        <v>3766.4</v>
      </c>
    </row>
    <row r="759" spans="1:38" x14ac:dyDescent="0.3">
      <c r="A759">
        <v>7000</v>
      </c>
      <c r="B759">
        <v>285.79000000000002</v>
      </c>
      <c r="C759" t="s">
        <v>20</v>
      </c>
      <c r="D759">
        <v>3.1219000000000001</v>
      </c>
      <c r="E759">
        <v>5.8162000000000003</v>
      </c>
      <c r="F759" t="s">
        <v>21</v>
      </c>
      <c r="G759" t="s">
        <v>21</v>
      </c>
      <c r="H759" t="s">
        <v>21</v>
      </c>
      <c r="I759" t="s">
        <v>21</v>
      </c>
      <c r="J759" t="s">
        <v>21</v>
      </c>
      <c r="K759" t="s">
        <v>21</v>
      </c>
      <c r="L759" t="s">
        <v>21</v>
      </c>
      <c r="M759" t="s">
        <v>21</v>
      </c>
      <c r="N759" t="s">
        <v>21</v>
      </c>
      <c r="O759" t="s">
        <v>21</v>
      </c>
      <c r="P759" t="s">
        <v>21</v>
      </c>
      <c r="Q759" t="s">
        <v>21</v>
      </c>
      <c r="R759" t="s">
        <v>21</v>
      </c>
      <c r="S759">
        <v>5.8529999999999998</v>
      </c>
      <c r="T759">
        <v>5.9326999999999996</v>
      </c>
      <c r="U759">
        <v>6.0651000000000002</v>
      </c>
      <c r="V759">
        <v>6.0982000000000003</v>
      </c>
      <c r="W759">
        <v>6.1792600000000002</v>
      </c>
      <c r="X759">
        <v>6.2332999999999998</v>
      </c>
      <c r="Y759">
        <v>6.2798600000000002</v>
      </c>
      <c r="Z759">
        <v>6.3497000000000003</v>
      </c>
      <c r="AA759">
        <v>6.3704800000000006</v>
      </c>
      <c r="AB759">
        <v>6.4535999999999998</v>
      </c>
      <c r="AC759">
        <v>6.5484999999999998</v>
      </c>
      <c r="AD759">
        <v>6.6368</v>
      </c>
      <c r="AE759">
        <v>6.7201000000000004</v>
      </c>
      <c r="AF759">
        <v>6.7992999999999997</v>
      </c>
      <c r="AG759">
        <v>6.8753000000000002</v>
      </c>
      <c r="AH759">
        <v>6.9485000000000001</v>
      </c>
      <c r="AI759">
        <v>7.0193000000000003</v>
      </c>
      <c r="AJ759">
        <v>7.0880000000000001</v>
      </c>
      <c r="AK759">
        <v>7.1539999999999999</v>
      </c>
      <c r="AL759">
        <v>7.22</v>
      </c>
    </row>
    <row r="760" spans="1:38" x14ac:dyDescent="0.3">
      <c r="A760">
        <v>7200</v>
      </c>
      <c r="B760">
        <v>287.7</v>
      </c>
      <c r="C760" t="s">
        <v>0</v>
      </c>
      <c r="D760">
        <v>1.3580000000000001</v>
      </c>
      <c r="E760">
        <v>26.521999999999998</v>
      </c>
      <c r="F760" t="s">
        <v>21</v>
      </c>
      <c r="G760" t="s">
        <v>21</v>
      </c>
      <c r="H760" t="s">
        <v>21</v>
      </c>
      <c r="I760" t="s">
        <v>21</v>
      </c>
      <c r="J760" t="s">
        <v>21</v>
      </c>
      <c r="K760" t="s">
        <v>21</v>
      </c>
      <c r="L760" t="s">
        <v>21</v>
      </c>
      <c r="M760" t="s">
        <v>21</v>
      </c>
      <c r="N760" t="s">
        <v>21</v>
      </c>
      <c r="O760" t="s">
        <v>21</v>
      </c>
      <c r="P760" t="s">
        <v>21</v>
      </c>
      <c r="Q760" t="s">
        <v>21</v>
      </c>
      <c r="R760" t="s">
        <v>21</v>
      </c>
      <c r="S760">
        <v>26.878</v>
      </c>
      <c r="T760">
        <v>28.321000000000002</v>
      </c>
      <c r="U760">
        <v>30.794600000000003</v>
      </c>
      <c r="V760">
        <v>31.413</v>
      </c>
      <c r="W760">
        <v>33.003</v>
      </c>
      <c r="X760">
        <v>34.063000000000002</v>
      </c>
      <c r="Y760">
        <v>35.019400000000005</v>
      </c>
      <c r="Z760">
        <v>36.454000000000001</v>
      </c>
      <c r="AA760">
        <v>36.898400000000002</v>
      </c>
      <c r="AB760">
        <v>38.676000000000002</v>
      </c>
      <c r="AC760">
        <v>40.780999999999999</v>
      </c>
      <c r="AD760">
        <v>42.802</v>
      </c>
      <c r="AE760">
        <v>44.759</v>
      </c>
      <c r="AF760">
        <v>46.667999999999999</v>
      </c>
      <c r="AG760">
        <v>48.54</v>
      </c>
      <c r="AH760">
        <v>50.381</v>
      </c>
      <c r="AI760">
        <v>52.197000000000003</v>
      </c>
      <c r="AJ760">
        <v>53.991</v>
      </c>
      <c r="AK760">
        <v>55.759</v>
      </c>
      <c r="AL760">
        <v>57.527000000000001</v>
      </c>
    </row>
    <row r="761" spans="1:38" x14ac:dyDescent="0.3">
      <c r="A761">
        <v>7200</v>
      </c>
      <c r="B761">
        <v>287.7</v>
      </c>
      <c r="C761" t="s">
        <v>18</v>
      </c>
      <c r="D761">
        <v>1267.9000000000001</v>
      </c>
      <c r="E761">
        <v>2579.9</v>
      </c>
      <c r="F761" t="s">
        <v>21</v>
      </c>
      <c r="G761" t="s">
        <v>21</v>
      </c>
      <c r="H761" t="s">
        <v>21</v>
      </c>
      <c r="I761" t="s">
        <v>21</v>
      </c>
      <c r="J761" t="s">
        <v>21</v>
      </c>
      <c r="K761" t="s">
        <v>21</v>
      </c>
      <c r="L761" t="s">
        <v>21</v>
      </c>
      <c r="M761" t="s">
        <v>21</v>
      </c>
      <c r="N761" t="s">
        <v>21</v>
      </c>
      <c r="O761" t="s">
        <v>21</v>
      </c>
      <c r="P761" t="s">
        <v>21</v>
      </c>
      <c r="Q761" t="s">
        <v>21</v>
      </c>
      <c r="R761" t="s">
        <v>21</v>
      </c>
      <c r="S761">
        <v>2589</v>
      </c>
      <c r="T761">
        <v>2625.6</v>
      </c>
      <c r="U761">
        <v>2687.44</v>
      </c>
      <c r="V761">
        <v>2702.9</v>
      </c>
      <c r="W761">
        <v>2741.84</v>
      </c>
      <c r="X761">
        <v>2767.8</v>
      </c>
      <c r="Y761">
        <v>2790.92</v>
      </c>
      <c r="Z761">
        <v>2825.6</v>
      </c>
      <c r="AA761">
        <v>2836.2599999999998</v>
      </c>
      <c r="AB761">
        <v>2878.9</v>
      </c>
      <c r="AC761">
        <v>2929.4</v>
      </c>
      <c r="AD761">
        <v>2978</v>
      </c>
      <c r="AE761">
        <v>3025.4</v>
      </c>
      <c r="AF761">
        <v>3072.2</v>
      </c>
      <c r="AG761">
        <v>3118.6</v>
      </c>
      <c r="AH761">
        <v>3164.9</v>
      </c>
      <c r="AI761">
        <v>3211.1</v>
      </c>
      <c r="AJ761">
        <v>3257.5</v>
      </c>
      <c r="AK761">
        <v>3304.1</v>
      </c>
      <c r="AL761">
        <v>3350.7</v>
      </c>
    </row>
    <row r="762" spans="1:38" x14ac:dyDescent="0.3">
      <c r="A762">
        <v>7200</v>
      </c>
      <c r="B762">
        <v>287.7</v>
      </c>
      <c r="C762" t="s">
        <v>19</v>
      </c>
      <c r="D762">
        <v>1277.5999999999999</v>
      </c>
      <c r="E762">
        <v>2770.9</v>
      </c>
      <c r="F762" t="s">
        <v>21</v>
      </c>
      <c r="G762" t="s">
        <v>21</v>
      </c>
      <c r="H762" t="s">
        <v>21</v>
      </c>
      <c r="I762" t="s">
        <v>21</v>
      </c>
      <c r="J762" t="s">
        <v>21</v>
      </c>
      <c r="K762" t="s">
        <v>21</v>
      </c>
      <c r="L762" t="s">
        <v>21</v>
      </c>
      <c r="M762" t="s">
        <v>21</v>
      </c>
      <c r="N762" t="s">
        <v>21</v>
      </c>
      <c r="O762" t="s">
        <v>21</v>
      </c>
      <c r="P762" t="s">
        <v>21</v>
      </c>
      <c r="Q762" t="s">
        <v>21</v>
      </c>
      <c r="R762" t="s">
        <v>21</v>
      </c>
      <c r="S762">
        <v>2782.5</v>
      </c>
      <c r="T762">
        <v>2829.5</v>
      </c>
      <c r="U762">
        <v>2909.18</v>
      </c>
      <c r="V762">
        <v>2929.1</v>
      </c>
      <c r="W762">
        <v>2979.5</v>
      </c>
      <c r="X762">
        <v>3013.1</v>
      </c>
      <c r="Y762">
        <v>3043.1</v>
      </c>
      <c r="Z762">
        <v>3088.1</v>
      </c>
      <c r="AA762">
        <v>3101.96</v>
      </c>
      <c r="AB762">
        <v>3157.4</v>
      </c>
      <c r="AC762">
        <v>3223</v>
      </c>
      <c r="AD762">
        <v>3286.1</v>
      </c>
      <c r="AE762">
        <v>3347.7</v>
      </c>
      <c r="AF762">
        <v>3408.2</v>
      </c>
      <c r="AG762">
        <v>3468.1</v>
      </c>
      <c r="AH762">
        <v>3527.6</v>
      </c>
      <c r="AI762">
        <v>3586.9</v>
      </c>
      <c r="AJ762">
        <v>3646.2</v>
      </c>
      <c r="AK762">
        <v>3705.55</v>
      </c>
      <c r="AL762">
        <v>3764.9</v>
      </c>
    </row>
    <row r="763" spans="1:38" x14ac:dyDescent="0.3">
      <c r="A763">
        <v>7200</v>
      </c>
      <c r="B763">
        <v>287.7</v>
      </c>
      <c r="C763" t="s">
        <v>20</v>
      </c>
      <c r="D763">
        <v>3.1396999999999999</v>
      </c>
      <c r="E763">
        <v>5.8019999999999996</v>
      </c>
      <c r="F763" t="s">
        <v>21</v>
      </c>
      <c r="G763" t="s">
        <v>21</v>
      </c>
      <c r="H763" t="s">
        <v>21</v>
      </c>
      <c r="I763" t="s">
        <v>21</v>
      </c>
      <c r="J763" t="s">
        <v>21</v>
      </c>
      <c r="K763" t="s">
        <v>21</v>
      </c>
      <c r="L763" t="s">
        <v>21</v>
      </c>
      <c r="M763" t="s">
        <v>21</v>
      </c>
      <c r="N763" t="s">
        <v>21</v>
      </c>
      <c r="O763" t="s">
        <v>21</v>
      </c>
      <c r="P763" t="s">
        <v>21</v>
      </c>
      <c r="Q763" t="s">
        <v>21</v>
      </c>
      <c r="R763" t="s">
        <v>21</v>
      </c>
      <c r="S763">
        <v>5.8226000000000004</v>
      </c>
      <c r="T763">
        <v>5.9054000000000002</v>
      </c>
      <c r="U763">
        <v>6.04148</v>
      </c>
      <c r="V763">
        <v>6.0754999999999999</v>
      </c>
      <c r="W763">
        <v>6.1581199999999994</v>
      </c>
      <c r="X763">
        <v>6.2131999999999996</v>
      </c>
      <c r="Y763">
        <v>6.2603999999999997</v>
      </c>
      <c r="Z763">
        <v>6.3311999999999999</v>
      </c>
      <c r="AA763">
        <v>6.3521999999999998</v>
      </c>
      <c r="AB763">
        <v>6.4362000000000004</v>
      </c>
      <c r="AC763">
        <v>6.5319000000000003</v>
      </c>
      <c r="AD763">
        <v>6.6208</v>
      </c>
      <c r="AE763">
        <v>6.7043999999999997</v>
      </c>
      <c r="AF763">
        <v>6.7839999999999998</v>
      </c>
      <c r="AG763">
        <v>6.8601999999999999</v>
      </c>
      <c r="AH763">
        <v>6.9337</v>
      </c>
      <c r="AI763">
        <v>7.0046999999999997</v>
      </c>
      <c r="AJ763">
        <v>7.0735000000000001</v>
      </c>
      <c r="AK763">
        <v>7.1396499999999996</v>
      </c>
      <c r="AL763">
        <v>7.2058</v>
      </c>
    </row>
    <row r="764" spans="1:38" x14ac:dyDescent="0.3">
      <c r="A764">
        <v>7400</v>
      </c>
      <c r="B764">
        <v>289.57</v>
      </c>
      <c r="C764" t="s">
        <v>0</v>
      </c>
      <c r="D764">
        <v>1.3640000000000001</v>
      </c>
      <c r="E764">
        <v>25.715</v>
      </c>
      <c r="F764" t="s">
        <v>21</v>
      </c>
      <c r="G764" t="s">
        <v>21</v>
      </c>
      <c r="H764" t="s">
        <v>21</v>
      </c>
      <c r="I764" t="s">
        <v>21</v>
      </c>
      <c r="J764" t="s">
        <v>21</v>
      </c>
      <c r="K764" t="s">
        <v>21</v>
      </c>
      <c r="L764" t="s">
        <v>21</v>
      </c>
      <c r="M764" t="s">
        <v>21</v>
      </c>
      <c r="N764" t="s">
        <v>21</v>
      </c>
      <c r="O764" t="s">
        <v>21</v>
      </c>
      <c r="P764" t="s">
        <v>21</v>
      </c>
      <c r="Q764" t="s">
        <v>21</v>
      </c>
      <c r="R764" t="s">
        <v>21</v>
      </c>
      <c r="S764">
        <v>25.780999999999999</v>
      </c>
      <c r="T764">
        <v>27.238</v>
      </c>
      <c r="U764">
        <v>29.71</v>
      </c>
      <c r="V764">
        <v>30.327999999999999</v>
      </c>
      <c r="W764">
        <v>31.903600000000001</v>
      </c>
      <c r="X764">
        <v>32.954000000000001</v>
      </c>
      <c r="Y764">
        <v>33.897199999999998</v>
      </c>
      <c r="Z764">
        <v>35.311999999999998</v>
      </c>
      <c r="AA764">
        <v>35.748999999999995</v>
      </c>
      <c r="AB764">
        <v>37.497</v>
      </c>
      <c r="AC764">
        <v>39.564</v>
      </c>
      <c r="AD764">
        <v>41.543999999999997</v>
      </c>
      <c r="AE764">
        <v>43.46</v>
      </c>
      <c r="AF764">
        <v>45.326999999999998</v>
      </c>
      <c r="AG764">
        <v>47.155999999999999</v>
      </c>
      <c r="AH764">
        <v>48.954000000000001</v>
      </c>
      <c r="AI764">
        <v>50.726999999999997</v>
      </c>
      <c r="AJ764">
        <v>52.478000000000002</v>
      </c>
      <c r="AK764">
        <v>54.202999999999996</v>
      </c>
      <c r="AL764">
        <v>55.927999999999997</v>
      </c>
    </row>
    <row r="765" spans="1:38" x14ac:dyDescent="0.3">
      <c r="A765">
        <v>7400</v>
      </c>
      <c r="B765">
        <v>289.57</v>
      </c>
      <c r="C765" t="s">
        <v>18</v>
      </c>
      <c r="D765">
        <v>1277.5999999999999</v>
      </c>
      <c r="E765">
        <v>2578</v>
      </c>
      <c r="F765" t="s">
        <v>21</v>
      </c>
      <c r="G765" t="s">
        <v>21</v>
      </c>
      <c r="H765" t="s">
        <v>21</v>
      </c>
      <c r="I765" t="s">
        <v>21</v>
      </c>
      <c r="J765" t="s">
        <v>21</v>
      </c>
      <c r="K765" t="s">
        <v>21</v>
      </c>
      <c r="L765" t="s">
        <v>21</v>
      </c>
      <c r="M765" t="s">
        <v>21</v>
      </c>
      <c r="N765" t="s">
        <v>21</v>
      </c>
      <c r="O765" t="s">
        <v>21</v>
      </c>
      <c r="P765" t="s">
        <v>21</v>
      </c>
      <c r="Q765" t="s">
        <v>21</v>
      </c>
      <c r="R765" t="s">
        <v>21</v>
      </c>
      <c r="S765">
        <v>2579.6999999999998</v>
      </c>
      <c r="T765">
        <v>2617.8000000000002</v>
      </c>
      <c r="U765">
        <v>2681.4</v>
      </c>
      <c r="V765">
        <v>2697.3</v>
      </c>
      <c r="W765">
        <v>2737.02</v>
      </c>
      <c r="X765">
        <v>2763.5</v>
      </c>
      <c r="Y765">
        <v>2786.94</v>
      </c>
      <c r="Z765">
        <v>2822.1</v>
      </c>
      <c r="AA765">
        <v>2832.88</v>
      </c>
      <c r="AB765">
        <v>2876</v>
      </c>
      <c r="AC765">
        <v>2926.9</v>
      </c>
      <c r="AD765">
        <v>2975.8</v>
      </c>
      <c r="AE765">
        <v>3023.5</v>
      </c>
      <c r="AF765">
        <v>3070.4</v>
      </c>
      <c r="AG765">
        <v>3117</v>
      </c>
      <c r="AH765">
        <v>3163.4</v>
      </c>
      <c r="AI765">
        <v>3209.8</v>
      </c>
      <c r="AJ765">
        <v>3256.2</v>
      </c>
      <c r="AK765">
        <v>3302.8999999999996</v>
      </c>
      <c r="AL765">
        <v>3349.6</v>
      </c>
    </row>
    <row r="766" spans="1:38" x14ac:dyDescent="0.3">
      <c r="A766">
        <v>7400</v>
      </c>
      <c r="B766">
        <v>289.57</v>
      </c>
      <c r="C766" t="s">
        <v>19</v>
      </c>
      <c r="D766">
        <v>1287.7</v>
      </c>
      <c r="E766">
        <v>2768.3</v>
      </c>
      <c r="F766" t="s">
        <v>21</v>
      </c>
      <c r="G766" t="s">
        <v>21</v>
      </c>
      <c r="H766" t="s">
        <v>21</v>
      </c>
      <c r="I766" t="s">
        <v>21</v>
      </c>
      <c r="J766" t="s">
        <v>21</v>
      </c>
      <c r="K766" t="s">
        <v>21</v>
      </c>
      <c r="L766" t="s">
        <v>21</v>
      </c>
      <c r="M766" t="s">
        <v>21</v>
      </c>
      <c r="N766" t="s">
        <v>21</v>
      </c>
      <c r="O766" t="s">
        <v>21</v>
      </c>
      <c r="P766" t="s">
        <v>21</v>
      </c>
      <c r="Q766" t="s">
        <v>21</v>
      </c>
      <c r="R766" t="s">
        <v>21</v>
      </c>
      <c r="S766">
        <v>2770.5</v>
      </c>
      <c r="T766">
        <v>2819.3</v>
      </c>
      <c r="U766">
        <v>2901.3</v>
      </c>
      <c r="V766">
        <v>2921.8</v>
      </c>
      <c r="W766">
        <v>2973.1600000000003</v>
      </c>
      <c r="X766">
        <v>3007.4</v>
      </c>
      <c r="Y766">
        <v>3037.8</v>
      </c>
      <c r="Z766">
        <v>3083.4</v>
      </c>
      <c r="AA766">
        <v>3097.42</v>
      </c>
      <c r="AB766">
        <v>3153.5</v>
      </c>
      <c r="AC766">
        <v>3219.6</v>
      </c>
      <c r="AD766">
        <v>3283.2</v>
      </c>
      <c r="AE766">
        <v>3345.1</v>
      </c>
      <c r="AF766">
        <v>3405.9</v>
      </c>
      <c r="AG766">
        <v>3466</v>
      </c>
      <c r="AH766">
        <v>3525.7</v>
      </c>
      <c r="AI766">
        <v>3585.1</v>
      </c>
      <c r="AJ766">
        <v>3644.5</v>
      </c>
      <c r="AK766">
        <v>3704</v>
      </c>
      <c r="AL766">
        <v>3763.5</v>
      </c>
    </row>
    <row r="767" spans="1:38" x14ac:dyDescent="0.3">
      <c r="A767">
        <v>7400</v>
      </c>
      <c r="B767">
        <v>289.57</v>
      </c>
      <c r="C767" t="s">
        <v>20</v>
      </c>
      <c r="D767">
        <v>3.1570999999999998</v>
      </c>
      <c r="E767">
        <v>5.7880000000000003</v>
      </c>
      <c r="F767" t="s">
        <v>21</v>
      </c>
      <c r="G767" t="s">
        <v>21</v>
      </c>
      <c r="H767" t="s">
        <v>21</v>
      </c>
      <c r="I767" t="s">
        <v>21</v>
      </c>
      <c r="J767" t="s">
        <v>21</v>
      </c>
      <c r="K767" t="s">
        <v>21</v>
      </c>
      <c r="L767" t="s">
        <v>21</v>
      </c>
      <c r="M767" t="s">
        <v>21</v>
      </c>
      <c r="N767" t="s">
        <v>21</v>
      </c>
      <c r="O767" t="s">
        <v>21</v>
      </c>
      <c r="P767" t="s">
        <v>21</v>
      </c>
      <c r="Q767" t="s">
        <v>21</v>
      </c>
      <c r="R767" t="s">
        <v>21</v>
      </c>
      <c r="S767">
        <v>5.7919</v>
      </c>
      <c r="T767">
        <v>5.8779000000000003</v>
      </c>
      <c r="U767">
        <v>6.0179799999999997</v>
      </c>
      <c r="V767">
        <v>6.0529999999999999</v>
      </c>
      <c r="W767">
        <v>6.1371799999999999</v>
      </c>
      <c r="X767">
        <v>6.1932999999999998</v>
      </c>
      <c r="Y767">
        <v>6.2411799999999999</v>
      </c>
      <c r="Z767">
        <v>6.3129999999999997</v>
      </c>
      <c r="AA767">
        <v>6.3342000000000001</v>
      </c>
      <c r="AB767">
        <v>6.4189999999999996</v>
      </c>
      <c r="AC767">
        <v>6.5156000000000001</v>
      </c>
      <c r="AD767">
        <v>6.6050000000000004</v>
      </c>
      <c r="AE767">
        <v>6.6891999999999996</v>
      </c>
      <c r="AF767">
        <v>6.7690999999999999</v>
      </c>
      <c r="AG767">
        <v>6.8456000000000001</v>
      </c>
      <c r="AH767">
        <v>6.9192</v>
      </c>
      <c r="AI767">
        <v>6.9904000000000002</v>
      </c>
      <c r="AJ767">
        <v>7.0594000000000001</v>
      </c>
      <c r="AK767">
        <v>7.1256500000000003</v>
      </c>
      <c r="AL767">
        <v>7.1919000000000004</v>
      </c>
    </row>
    <row r="768" spans="1:38" x14ac:dyDescent="0.3">
      <c r="A768">
        <v>7600</v>
      </c>
      <c r="B768">
        <v>291.41000000000003</v>
      </c>
      <c r="C768" t="s">
        <v>0</v>
      </c>
      <c r="D768">
        <v>1.371</v>
      </c>
      <c r="E768">
        <v>24.949000000000002</v>
      </c>
      <c r="F768" t="s">
        <v>21</v>
      </c>
      <c r="G768" t="s">
        <v>21</v>
      </c>
      <c r="H768" t="s">
        <v>21</v>
      </c>
      <c r="I768" t="s">
        <v>21</v>
      </c>
      <c r="J768" t="s">
        <v>21</v>
      </c>
      <c r="K768" t="s">
        <v>21</v>
      </c>
      <c r="L768" t="s">
        <v>21</v>
      </c>
      <c r="M768" t="s">
        <v>21</v>
      </c>
      <c r="N768" t="s">
        <v>21</v>
      </c>
      <c r="O768" t="s">
        <v>21</v>
      </c>
      <c r="P768" t="s">
        <v>21</v>
      </c>
      <c r="Q768" t="s">
        <v>21</v>
      </c>
      <c r="R768" t="s">
        <v>21</v>
      </c>
      <c r="S768" t="s">
        <v>21</v>
      </c>
      <c r="T768">
        <v>26.204000000000001</v>
      </c>
      <c r="U768">
        <v>28.6784</v>
      </c>
      <c r="V768">
        <v>29.297000000000001</v>
      </c>
      <c r="W768">
        <v>30.859400000000001</v>
      </c>
      <c r="X768">
        <v>31.901</v>
      </c>
      <c r="Y768">
        <v>32.8322</v>
      </c>
      <c r="Z768">
        <v>34.228999999999999</v>
      </c>
      <c r="AA768">
        <v>34.659199999999998</v>
      </c>
      <c r="AB768">
        <v>36.380000000000003</v>
      </c>
      <c r="AC768">
        <v>38.408999999999999</v>
      </c>
      <c r="AD768">
        <v>40.350999999999999</v>
      </c>
      <c r="AE768">
        <v>42.228000000000002</v>
      </c>
      <c r="AF768">
        <v>44.055999999999997</v>
      </c>
      <c r="AG768">
        <v>45.844999999999999</v>
      </c>
      <c r="AH768">
        <v>47.603000000000002</v>
      </c>
      <c r="AI768">
        <v>49.335000000000001</v>
      </c>
      <c r="AJ768">
        <v>51.045000000000002</v>
      </c>
      <c r="AK768">
        <v>52.728999999999999</v>
      </c>
      <c r="AL768">
        <v>54.412999999999997</v>
      </c>
    </row>
    <row r="769" spans="1:38" x14ac:dyDescent="0.3">
      <c r="A769">
        <v>7600</v>
      </c>
      <c r="B769">
        <v>291.41000000000003</v>
      </c>
      <c r="C769" t="s">
        <v>18</v>
      </c>
      <c r="D769">
        <v>1287.2</v>
      </c>
      <c r="E769">
        <v>2575.9</v>
      </c>
      <c r="F769" t="s">
        <v>21</v>
      </c>
      <c r="G769" t="s">
        <v>21</v>
      </c>
      <c r="H769" t="s">
        <v>21</v>
      </c>
      <c r="I769" t="s">
        <v>21</v>
      </c>
      <c r="J769" t="s">
        <v>21</v>
      </c>
      <c r="K769" t="s">
        <v>21</v>
      </c>
      <c r="L769" t="s">
        <v>21</v>
      </c>
      <c r="M769" t="s">
        <v>21</v>
      </c>
      <c r="N769" t="s">
        <v>21</v>
      </c>
      <c r="O769" t="s">
        <v>21</v>
      </c>
      <c r="P769" t="s">
        <v>21</v>
      </c>
      <c r="Q769" t="s">
        <v>21</v>
      </c>
      <c r="R769" t="s">
        <v>21</v>
      </c>
      <c r="S769" t="s">
        <v>21</v>
      </c>
      <c r="T769">
        <v>2609.6999999999998</v>
      </c>
      <c r="U769">
        <v>2675.2999999999997</v>
      </c>
      <c r="V769">
        <v>2691.7</v>
      </c>
      <c r="W769">
        <v>2732.2</v>
      </c>
      <c r="X769">
        <v>2759.2</v>
      </c>
      <c r="Y769">
        <v>2782.96</v>
      </c>
      <c r="Z769">
        <v>2818.6</v>
      </c>
      <c r="AA769">
        <v>2829.5</v>
      </c>
      <c r="AB769">
        <v>2873.1</v>
      </c>
      <c r="AC769">
        <v>2924.3</v>
      </c>
      <c r="AD769">
        <v>2973.6</v>
      </c>
      <c r="AE769">
        <v>3021.5</v>
      </c>
      <c r="AF769">
        <v>3068.7</v>
      </c>
      <c r="AG769">
        <v>3115.4</v>
      </c>
      <c r="AH769">
        <v>3161.9</v>
      </c>
      <c r="AI769">
        <v>3208.4</v>
      </c>
      <c r="AJ769">
        <v>3254.9</v>
      </c>
      <c r="AK769">
        <v>3301.7</v>
      </c>
      <c r="AL769">
        <v>3348.5</v>
      </c>
    </row>
    <row r="770" spans="1:38" x14ac:dyDescent="0.3">
      <c r="A770">
        <v>7600</v>
      </c>
      <c r="B770">
        <v>291.41000000000003</v>
      </c>
      <c r="C770" t="s">
        <v>19</v>
      </c>
      <c r="D770">
        <v>1297.5999999999999</v>
      </c>
      <c r="E770">
        <v>2765.5</v>
      </c>
      <c r="F770" t="s">
        <v>21</v>
      </c>
      <c r="G770" t="s">
        <v>21</v>
      </c>
      <c r="H770" t="s">
        <v>21</v>
      </c>
      <c r="I770" t="s">
        <v>21</v>
      </c>
      <c r="J770" t="s">
        <v>21</v>
      </c>
      <c r="K770" t="s">
        <v>21</v>
      </c>
      <c r="L770" t="s">
        <v>21</v>
      </c>
      <c r="M770" t="s">
        <v>21</v>
      </c>
      <c r="N770" t="s">
        <v>21</v>
      </c>
      <c r="O770" t="s">
        <v>21</v>
      </c>
      <c r="P770" t="s">
        <v>21</v>
      </c>
      <c r="Q770" t="s">
        <v>21</v>
      </c>
      <c r="R770" t="s">
        <v>21</v>
      </c>
      <c r="S770" t="s">
        <v>21</v>
      </c>
      <c r="T770">
        <v>2808.8</v>
      </c>
      <c r="U770">
        <v>2893.2000000000003</v>
      </c>
      <c r="V770">
        <v>2914.3</v>
      </c>
      <c r="W770">
        <v>2966.68</v>
      </c>
      <c r="X770">
        <v>3001.6</v>
      </c>
      <c r="Y770">
        <v>3032.44</v>
      </c>
      <c r="Z770">
        <v>3078.7</v>
      </c>
      <c r="AA770">
        <v>3092.8799999999997</v>
      </c>
      <c r="AB770">
        <v>3149.6</v>
      </c>
      <c r="AC770">
        <v>3216.3</v>
      </c>
      <c r="AD770">
        <v>3280.3</v>
      </c>
      <c r="AE770">
        <v>3342.5</v>
      </c>
      <c r="AF770">
        <v>3403.5</v>
      </c>
      <c r="AG770">
        <v>3463.8</v>
      </c>
      <c r="AH770">
        <v>3523.7</v>
      </c>
      <c r="AI770">
        <v>3583.3</v>
      </c>
      <c r="AJ770">
        <v>3642.9</v>
      </c>
      <c r="AK770">
        <v>3702.5</v>
      </c>
      <c r="AL770">
        <v>3762.1</v>
      </c>
    </row>
    <row r="771" spans="1:38" x14ac:dyDescent="0.3">
      <c r="A771">
        <v>7600</v>
      </c>
      <c r="B771">
        <v>291.41000000000003</v>
      </c>
      <c r="C771" t="s">
        <v>20</v>
      </c>
      <c r="D771">
        <v>3.1741999999999999</v>
      </c>
      <c r="E771">
        <v>5.7742000000000004</v>
      </c>
      <c r="F771" t="s">
        <v>21</v>
      </c>
      <c r="G771" t="s">
        <v>21</v>
      </c>
      <c r="H771" t="s">
        <v>21</v>
      </c>
      <c r="I771" t="s">
        <v>21</v>
      </c>
      <c r="J771" t="s">
        <v>21</v>
      </c>
      <c r="K771" t="s">
        <v>21</v>
      </c>
      <c r="L771" t="s">
        <v>21</v>
      </c>
      <c r="M771" t="s">
        <v>21</v>
      </c>
      <c r="N771" t="s">
        <v>21</v>
      </c>
      <c r="O771" t="s">
        <v>21</v>
      </c>
      <c r="P771" t="s">
        <v>21</v>
      </c>
      <c r="Q771" t="s">
        <v>21</v>
      </c>
      <c r="R771" t="s">
        <v>21</v>
      </c>
      <c r="S771" t="s">
        <v>21</v>
      </c>
      <c r="T771">
        <v>5.8502999999999998</v>
      </c>
      <c r="U771">
        <v>5.9945399999999998</v>
      </c>
      <c r="V771">
        <v>6.0305999999999997</v>
      </c>
      <c r="W771">
        <v>6.11646</v>
      </c>
      <c r="X771">
        <v>6.1737000000000002</v>
      </c>
      <c r="Y771">
        <v>6.2222200000000001</v>
      </c>
      <c r="Z771">
        <v>6.2949999999999999</v>
      </c>
      <c r="AA771">
        <v>6.3164400000000001</v>
      </c>
      <c r="AB771">
        <v>6.4021999999999997</v>
      </c>
      <c r="AC771">
        <v>6.4996</v>
      </c>
      <c r="AD771">
        <v>6.5895999999999999</v>
      </c>
      <c r="AE771">
        <v>6.6741999999999999</v>
      </c>
      <c r="AF771">
        <v>6.7545000000000002</v>
      </c>
      <c r="AG771">
        <v>6.8311999999999999</v>
      </c>
      <c r="AH771">
        <v>6.9051</v>
      </c>
      <c r="AI771">
        <v>6.9764999999999997</v>
      </c>
      <c r="AJ771">
        <v>7.0457000000000001</v>
      </c>
      <c r="AK771">
        <v>7.11205</v>
      </c>
      <c r="AL771">
        <v>7.1783999999999999</v>
      </c>
    </row>
    <row r="772" spans="1:38" x14ac:dyDescent="0.3">
      <c r="A772">
        <v>7800</v>
      </c>
      <c r="B772">
        <v>293.20999999999998</v>
      </c>
      <c r="C772" t="s">
        <v>0</v>
      </c>
      <c r="D772">
        <v>1.3779999999999999</v>
      </c>
      <c r="E772">
        <v>24.22</v>
      </c>
      <c r="F772" t="s">
        <v>21</v>
      </c>
      <c r="G772" t="s">
        <v>21</v>
      </c>
      <c r="H772" t="s">
        <v>21</v>
      </c>
      <c r="I772" t="s">
        <v>21</v>
      </c>
      <c r="J772" t="s">
        <v>21</v>
      </c>
      <c r="K772" t="s">
        <v>21</v>
      </c>
      <c r="L772" t="s">
        <v>21</v>
      </c>
      <c r="M772" t="s">
        <v>21</v>
      </c>
      <c r="N772" t="s">
        <v>21</v>
      </c>
      <c r="O772" t="s">
        <v>21</v>
      </c>
      <c r="P772" t="s">
        <v>21</v>
      </c>
      <c r="Q772" t="s">
        <v>21</v>
      </c>
      <c r="R772" t="s">
        <v>21</v>
      </c>
      <c r="S772" t="s">
        <v>21</v>
      </c>
      <c r="T772">
        <v>25.213999999999999</v>
      </c>
      <c r="U772">
        <v>27.694800000000001</v>
      </c>
      <c r="V772">
        <v>28.315000000000001</v>
      </c>
      <c r="W772">
        <v>29.866</v>
      </c>
      <c r="X772">
        <v>30.9</v>
      </c>
      <c r="Y772">
        <v>31.82</v>
      </c>
      <c r="Z772">
        <v>33.200000000000003</v>
      </c>
      <c r="AA772">
        <v>33.623800000000003</v>
      </c>
      <c r="AB772">
        <v>35.319000000000003</v>
      </c>
      <c r="AC772">
        <v>37.314</v>
      </c>
      <c r="AD772">
        <v>39.22</v>
      </c>
      <c r="AE772">
        <v>41.06</v>
      </c>
      <c r="AF772">
        <v>42.85</v>
      </c>
      <c r="AG772">
        <v>44.600999999999999</v>
      </c>
      <c r="AH772">
        <v>46.32</v>
      </c>
      <c r="AI772">
        <v>48.014000000000003</v>
      </c>
      <c r="AJ772">
        <v>49.686</v>
      </c>
      <c r="AK772">
        <v>51.331000000000003</v>
      </c>
      <c r="AL772">
        <v>52.975999999999999</v>
      </c>
    </row>
    <row r="773" spans="1:38" x14ac:dyDescent="0.3">
      <c r="A773">
        <v>7800</v>
      </c>
      <c r="B773">
        <v>293.20999999999998</v>
      </c>
      <c r="C773" t="s">
        <v>18</v>
      </c>
      <c r="D773">
        <v>1296.7</v>
      </c>
      <c r="E773">
        <v>2573.8000000000002</v>
      </c>
      <c r="F773" t="s">
        <v>21</v>
      </c>
      <c r="G773" t="s">
        <v>21</v>
      </c>
      <c r="H773" t="s">
        <v>21</v>
      </c>
      <c r="I773" t="s">
        <v>21</v>
      </c>
      <c r="J773" t="s">
        <v>21</v>
      </c>
      <c r="K773" t="s">
        <v>21</v>
      </c>
      <c r="L773" t="s">
        <v>21</v>
      </c>
      <c r="M773" t="s">
        <v>21</v>
      </c>
      <c r="N773" t="s">
        <v>21</v>
      </c>
      <c r="O773" t="s">
        <v>21</v>
      </c>
      <c r="P773" t="s">
        <v>21</v>
      </c>
      <c r="Q773" t="s">
        <v>21</v>
      </c>
      <c r="R773" t="s">
        <v>21</v>
      </c>
      <c r="S773" t="s">
        <v>21</v>
      </c>
      <c r="T773">
        <v>2601.3000000000002</v>
      </c>
      <c r="U773">
        <v>2668.98</v>
      </c>
      <c r="V773">
        <v>2685.9</v>
      </c>
      <c r="W773">
        <v>2727.2400000000002</v>
      </c>
      <c r="X773">
        <v>2754.8</v>
      </c>
      <c r="Y773">
        <v>2778.92</v>
      </c>
      <c r="Z773">
        <v>2815.1</v>
      </c>
      <c r="AA773">
        <v>2826.1</v>
      </c>
      <c r="AB773">
        <v>2870.1</v>
      </c>
      <c r="AC773">
        <v>2921.8</v>
      </c>
      <c r="AD773">
        <v>2971.4</v>
      </c>
      <c r="AE773">
        <v>3019.6</v>
      </c>
      <c r="AF773">
        <v>3066.9</v>
      </c>
      <c r="AG773">
        <v>3113.8</v>
      </c>
      <c r="AH773">
        <v>3160.4</v>
      </c>
      <c r="AI773">
        <v>3207</v>
      </c>
      <c r="AJ773">
        <v>3253.7</v>
      </c>
      <c r="AK773">
        <v>3300.55</v>
      </c>
      <c r="AL773">
        <v>3347.4</v>
      </c>
    </row>
    <row r="774" spans="1:38" x14ac:dyDescent="0.3">
      <c r="A774">
        <v>7800</v>
      </c>
      <c r="B774">
        <v>293.20999999999998</v>
      </c>
      <c r="C774" t="s">
        <v>19</v>
      </c>
      <c r="D774">
        <v>1307.4000000000001</v>
      </c>
      <c r="E774">
        <v>2762.8</v>
      </c>
      <c r="F774" t="s">
        <v>21</v>
      </c>
      <c r="G774" t="s">
        <v>21</v>
      </c>
      <c r="H774" t="s">
        <v>21</v>
      </c>
      <c r="I774" t="s">
        <v>21</v>
      </c>
      <c r="J774" t="s">
        <v>21</v>
      </c>
      <c r="K774" t="s">
        <v>21</v>
      </c>
      <c r="L774" t="s">
        <v>21</v>
      </c>
      <c r="M774" t="s">
        <v>21</v>
      </c>
      <c r="N774" t="s">
        <v>21</v>
      </c>
      <c r="O774" t="s">
        <v>21</v>
      </c>
      <c r="P774" t="s">
        <v>21</v>
      </c>
      <c r="Q774" t="s">
        <v>21</v>
      </c>
      <c r="R774" t="s">
        <v>21</v>
      </c>
      <c r="S774" t="s">
        <v>21</v>
      </c>
      <c r="T774">
        <v>2798</v>
      </c>
      <c r="U774">
        <v>2884.96</v>
      </c>
      <c r="V774">
        <v>2906.7</v>
      </c>
      <c r="W774">
        <v>2960.16</v>
      </c>
      <c r="X774">
        <v>2995.8</v>
      </c>
      <c r="Y774">
        <v>3027.08</v>
      </c>
      <c r="Z774">
        <v>3074</v>
      </c>
      <c r="AA774">
        <v>3088.32</v>
      </c>
      <c r="AB774">
        <v>3145.6</v>
      </c>
      <c r="AC774">
        <v>3212.9</v>
      </c>
      <c r="AD774">
        <v>3277.3</v>
      </c>
      <c r="AE774">
        <v>3339.8</v>
      </c>
      <c r="AF774">
        <v>3401.1</v>
      </c>
      <c r="AG774">
        <v>3461.7</v>
      </c>
      <c r="AH774">
        <v>3521.7</v>
      </c>
      <c r="AI774">
        <v>3581.5</v>
      </c>
      <c r="AJ774">
        <v>3641.2</v>
      </c>
      <c r="AK774">
        <v>3700.8999999999996</v>
      </c>
      <c r="AL774">
        <v>3760.6</v>
      </c>
    </row>
    <row r="775" spans="1:38" x14ac:dyDescent="0.3">
      <c r="A775">
        <v>7800</v>
      </c>
      <c r="B775">
        <v>293.20999999999998</v>
      </c>
      <c r="C775" t="s">
        <v>20</v>
      </c>
      <c r="D775">
        <v>3.1911</v>
      </c>
      <c r="E775">
        <v>5.7605000000000004</v>
      </c>
      <c r="F775" t="s">
        <v>21</v>
      </c>
      <c r="G775" t="s">
        <v>21</v>
      </c>
      <c r="H775" t="s">
        <v>21</v>
      </c>
      <c r="I775" t="s">
        <v>21</v>
      </c>
      <c r="J775" t="s">
        <v>21</v>
      </c>
      <c r="K775" t="s">
        <v>21</v>
      </c>
      <c r="L775" t="s">
        <v>21</v>
      </c>
      <c r="M775" t="s">
        <v>21</v>
      </c>
      <c r="N775" t="s">
        <v>21</v>
      </c>
      <c r="O775" t="s">
        <v>21</v>
      </c>
      <c r="P775" t="s">
        <v>21</v>
      </c>
      <c r="Q775" t="s">
        <v>21</v>
      </c>
      <c r="R775" t="s">
        <v>21</v>
      </c>
      <c r="S775" t="s">
        <v>21</v>
      </c>
      <c r="T775">
        <v>5.8224</v>
      </c>
      <c r="U775">
        <v>5.9710400000000003</v>
      </c>
      <c r="V775">
        <v>6.0082000000000004</v>
      </c>
      <c r="W775">
        <v>6.0958000000000006</v>
      </c>
      <c r="X775">
        <v>6.1542000000000003</v>
      </c>
      <c r="Y775">
        <v>6.2034400000000005</v>
      </c>
      <c r="Z775">
        <v>6.2773000000000003</v>
      </c>
      <c r="AA775">
        <v>6.2989800000000002</v>
      </c>
      <c r="AB775">
        <v>6.3856999999999999</v>
      </c>
      <c r="AC775">
        <v>6.4839000000000002</v>
      </c>
      <c r="AD775">
        <v>6.5744999999999996</v>
      </c>
      <c r="AE775">
        <v>6.6596000000000002</v>
      </c>
      <c r="AF775">
        <v>6.7401999999999997</v>
      </c>
      <c r="AG775">
        <v>6.8171999999999997</v>
      </c>
      <c r="AH775">
        <v>6.8913000000000002</v>
      </c>
      <c r="AI775">
        <v>6.9629000000000003</v>
      </c>
      <c r="AJ775">
        <v>7.0321999999999996</v>
      </c>
      <c r="AK775">
        <v>7.0986999999999991</v>
      </c>
      <c r="AL775">
        <v>7.1651999999999996</v>
      </c>
    </row>
    <row r="776" spans="1:38" x14ac:dyDescent="0.3">
      <c r="A776">
        <v>8000</v>
      </c>
      <c r="B776">
        <v>294.97000000000003</v>
      </c>
      <c r="C776" t="s">
        <v>0</v>
      </c>
      <c r="D776">
        <v>1.3839999999999999</v>
      </c>
      <c r="E776">
        <v>23.524999999999999</v>
      </c>
      <c r="F776" t="s">
        <v>21</v>
      </c>
      <c r="G776" t="s">
        <v>21</v>
      </c>
      <c r="H776" t="s">
        <v>21</v>
      </c>
      <c r="I776" t="s">
        <v>21</v>
      </c>
      <c r="J776" t="s">
        <v>21</v>
      </c>
      <c r="K776" t="s">
        <v>21</v>
      </c>
      <c r="L776" t="s">
        <v>21</v>
      </c>
      <c r="M776" t="s">
        <v>21</v>
      </c>
      <c r="N776" t="s">
        <v>21</v>
      </c>
      <c r="O776" t="s">
        <v>21</v>
      </c>
      <c r="P776" t="s">
        <v>21</v>
      </c>
      <c r="Q776" t="s">
        <v>21</v>
      </c>
      <c r="R776" t="s">
        <v>21</v>
      </c>
      <c r="S776" t="s">
        <v>21</v>
      </c>
      <c r="T776">
        <v>24.263999999999999</v>
      </c>
      <c r="U776">
        <v>26.755199999999999</v>
      </c>
      <c r="V776">
        <v>27.378</v>
      </c>
      <c r="W776">
        <v>28.92</v>
      </c>
      <c r="X776">
        <v>29.948</v>
      </c>
      <c r="Y776">
        <v>30.857600000000001</v>
      </c>
      <c r="Z776">
        <v>32.222000000000001</v>
      </c>
      <c r="AA776">
        <v>32.639600000000002</v>
      </c>
      <c r="AB776">
        <v>34.31</v>
      </c>
      <c r="AC776">
        <v>36.273000000000003</v>
      </c>
      <c r="AD776">
        <v>38.145000000000003</v>
      </c>
      <c r="AE776">
        <v>39.950000000000003</v>
      </c>
      <c r="AF776">
        <v>41.704000000000001</v>
      </c>
      <c r="AG776">
        <v>43.418999999999997</v>
      </c>
      <c r="AH776">
        <v>45.101999999999997</v>
      </c>
      <c r="AI776">
        <v>46.759</v>
      </c>
      <c r="AJ776">
        <v>48.393999999999998</v>
      </c>
      <c r="AK776">
        <v>50.002499999999998</v>
      </c>
      <c r="AL776">
        <v>51.610999999999997</v>
      </c>
    </row>
    <row r="777" spans="1:38" x14ac:dyDescent="0.3">
      <c r="A777">
        <v>8000</v>
      </c>
      <c r="B777">
        <v>294.97000000000003</v>
      </c>
      <c r="C777" t="s">
        <v>18</v>
      </c>
      <c r="D777">
        <v>1306</v>
      </c>
      <c r="E777">
        <v>2571.6999999999998</v>
      </c>
      <c r="F777" t="s">
        <v>21</v>
      </c>
      <c r="G777" t="s">
        <v>21</v>
      </c>
      <c r="H777" t="s">
        <v>21</v>
      </c>
      <c r="I777" t="s">
        <v>21</v>
      </c>
      <c r="J777" t="s">
        <v>21</v>
      </c>
      <c r="K777" t="s">
        <v>21</v>
      </c>
      <c r="L777" t="s">
        <v>21</v>
      </c>
      <c r="M777" t="s">
        <v>21</v>
      </c>
      <c r="N777" t="s">
        <v>21</v>
      </c>
      <c r="O777" t="s">
        <v>21</v>
      </c>
      <c r="P777" t="s">
        <v>21</v>
      </c>
      <c r="Q777" t="s">
        <v>21</v>
      </c>
      <c r="R777" t="s">
        <v>21</v>
      </c>
      <c r="S777" t="s">
        <v>21</v>
      </c>
      <c r="T777">
        <v>2592.6999999999998</v>
      </c>
      <c r="U777">
        <v>2662.46</v>
      </c>
      <c r="V777">
        <v>2679.9</v>
      </c>
      <c r="W777">
        <v>2722.1400000000003</v>
      </c>
      <c r="X777">
        <v>2750.3</v>
      </c>
      <c r="Y777">
        <v>2774.78</v>
      </c>
      <c r="Z777">
        <v>2811.5</v>
      </c>
      <c r="AA777">
        <v>2822.62</v>
      </c>
      <c r="AB777">
        <v>2867.1</v>
      </c>
      <c r="AC777">
        <v>2919.3</v>
      </c>
      <c r="AD777">
        <v>2969.2</v>
      </c>
      <c r="AE777">
        <v>3017.6</v>
      </c>
      <c r="AF777">
        <v>3065.1</v>
      </c>
      <c r="AG777">
        <v>3112.2</v>
      </c>
      <c r="AH777">
        <v>3158.9</v>
      </c>
      <c r="AI777">
        <v>3205.6</v>
      </c>
      <c r="AJ777">
        <v>3252.4</v>
      </c>
      <c r="AK777">
        <v>3299.3500000000004</v>
      </c>
      <c r="AL777">
        <v>3346.3</v>
      </c>
    </row>
    <row r="778" spans="1:38" x14ac:dyDescent="0.3">
      <c r="A778">
        <v>8000</v>
      </c>
      <c r="B778">
        <v>294.97000000000003</v>
      </c>
      <c r="C778" t="s">
        <v>19</v>
      </c>
      <c r="D778">
        <v>1317.1</v>
      </c>
      <c r="E778">
        <v>2759.9</v>
      </c>
      <c r="F778" t="s">
        <v>21</v>
      </c>
      <c r="G778" t="s">
        <v>21</v>
      </c>
      <c r="H778" t="s">
        <v>21</v>
      </c>
      <c r="I778" t="s">
        <v>21</v>
      </c>
      <c r="J778" t="s">
        <v>21</v>
      </c>
      <c r="K778" t="s">
        <v>21</v>
      </c>
      <c r="L778" t="s">
        <v>21</v>
      </c>
      <c r="M778" t="s">
        <v>21</v>
      </c>
      <c r="N778" t="s">
        <v>21</v>
      </c>
      <c r="O778" t="s">
        <v>21</v>
      </c>
      <c r="P778" t="s">
        <v>21</v>
      </c>
      <c r="Q778" t="s">
        <v>21</v>
      </c>
      <c r="R778" t="s">
        <v>21</v>
      </c>
      <c r="S778" t="s">
        <v>21</v>
      </c>
      <c r="T778">
        <v>2786.8</v>
      </c>
      <c r="U778">
        <v>2876.56</v>
      </c>
      <c r="V778">
        <v>2899</v>
      </c>
      <c r="W778">
        <v>2953.54</v>
      </c>
      <c r="X778">
        <v>2989.9</v>
      </c>
      <c r="Y778">
        <v>3021.62</v>
      </c>
      <c r="Z778">
        <v>3069.2</v>
      </c>
      <c r="AA778">
        <v>3083.68</v>
      </c>
      <c r="AB778">
        <v>3141.6</v>
      </c>
      <c r="AC778">
        <v>3209.5</v>
      </c>
      <c r="AD778">
        <v>3274.3</v>
      </c>
      <c r="AE778">
        <v>3337.2</v>
      </c>
      <c r="AF778">
        <v>3398.8</v>
      </c>
      <c r="AG778">
        <v>3459.5</v>
      </c>
      <c r="AH778">
        <v>3519.7</v>
      </c>
      <c r="AI778">
        <v>3579.7</v>
      </c>
      <c r="AJ778">
        <v>3639.5</v>
      </c>
      <c r="AK778">
        <v>3699.35</v>
      </c>
      <c r="AL778">
        <v>3759.2</v>
      </c>
    </row>
    <row r="779" spans="1:38" x14ac:dyDescent="0.3">
      <c r="A779">
        <v>8000</v>
      </c>
      <c r="B779">
        <v>294.97000000000003</v>
      </c>
      <c r="C779" t="s">
        <v>20</v>
      </c>
      <c r="D779">
        <v>3.2075999999999998</v>
      </c>
      <c r="E779">
        <v>5.7470999999999997</v>
      </c>
      <c r="F779" t="s">
        <v>21</v>
      </c>
      <c r="G779" t="s">
        <v>21</v>
      </c>
      <c r="H779" t="s">
        <v>21</v>
      </c>
      <c r="I779" t="s">
        <v>21</v>
      </c>
      <c r="J779" t="s">
        <v>21</v>
      </c>
      <c r="K779" t="s">
        <v>21</v>
      </c>
      <c r="L779" t="s">
        <v>21</v>
      </c>
      <c r="M779" t="s">
        <v>21</v>
      </c>
      <c r="N779" t="s">
        <v>21</v>
      </c>
      <c r="O779" t="s">
        <v>21</v>
      </c>
      <c r="P779" t="s">
        <v>21</v>
      </c>
      <c r="Q779" t="s">
        <v>21</v>
      </c>
      <c r="R779" t="s">
        <v>21</v>
      </c>
      <c r="S779" t="s">
        <v>21</v>
      </c>
      <c r="T779">
        <v>5.7942</v>
      </c>
      <c r="U779">
        <v>5.9476399999999998</v>
      </c>
      <c r="V779">
        <v>5.9859999999999998</v>
      </c>
      <c r="W779">
        <v>6.0753399999999997</v>
      </c>
      <c r="X779">
        <v>6.1349</v>
      </c>
      <c r="Y779">
        <v>6.1848999999999998</v>
      </c>
      <c r="Z779">
        <v>6.2599</v>
      </c>
      <c r="AA779">
        <v>6.2817999999999996</v>
      </c>
      <c r="AB779">
        <v>6.3693999999999997</v>
      </c>
      <c r="AC779">
        <v>6.4683999999999999</v>
      </c>
      <c r="AD779">
        <v>6.5597000000000003</v>
      </c>
      <c r="AE779">
        <v>6.6452</v>
      </c>
      <c r="AF779">
        <v>6.7262000000000004</v>
      </c>
      <c r="AG779">
        <v>6.8034999999999997</v>
      </c>
      <c r="AH779">
        <v>6.8777999999999997</v>
      </c>
      <c r="AI779">
        <v>6.9496000000000002</v>
      </c>
      <c r="AJ779">
        <v>7.0190999999999999</v>
      </c>
      <c r="AK779">
        <v>7.0857000000000001</v>
      </c>
      <c r="AL779">
        <v>7.1523000000000003</v>
      </c>
    </row>
    <row r="780" spans="1:38" x14ac:dyDescent="0.3">
      <c r="A780">
        <v>8200</v>
      </c>
      <c r="B780">
        <v>296.7</v>
      </c>
      <c r="C780" t="s">
        <v>0</v>
      </c>
      <c r="D780">
        <v>1.391</v>
      </c>
      <c r="E780">
        <v>22.863</v>
      </c>
      <c r="F780" t="s">
        <v>21</v>
      </c>
      <c r="G780" t="s">
        <v>21</v>
      </c>
      <c r="H780" t="s">
        <v>21</v>
      </c>
      <c r="I780" t="s">
        <v>21</v>
      </c>
      <c r="J780" t="s">
        <v>21</v>
      </c>
      <c r="K780" t="s">
        <v>21</v>
      </c>
      <c r="L780" t="s">
        <v>21</v>
      </c>
      <c r="M780" t="s">
        <v>21</v>
      </c>
      <c r="N780" t="s">
        <v>21</v>
      </c>
      <c r="O780" t="s">
        <v>21</v>
      </c>
      <c r="P780" t="s">
        <v>21</v>
      </c>
      <c r="Q780" t="s">
        <v>21</v>
      </c>
      <c r="R780" t="s">
        <v>21</v>
      </c>
      <c r="S780" t="s">
        <v>21</v>
      </c>
      <c r="T780">
        <v>23.35</v>
      </c>
      <c r="U780">
        <v>25.916</v>
      </c>
      <c r="V780">
        <v>26.452999999999999</v>
      </c>
      <c r="W780">
        <v>28.064</v>
      </c>
      <c r="X780">
        <v>29.015999999999998</v>
      </c>
      <c r="Y780">
        <v>29.968</v>
      </c>
      <c r="Z780">
        <v>31.27825</v>
      </c>
      <c r="AA780">
        <v>31.715</v>
      </c>
      <c r="AB780">
        <v>33.35</v>
      </c>
      <c r="AC780">
        <v>35.281999999999996</v>
      </c>
      <c r="AD780">
        <v>37.121000000000002</v>
      </c>
      <c r="AE780">
        <v>38.893000000000001</v>
      </c>
      <c r="AF780">
        <v>40.613999999999997</v>
      </c>
      <c r="AG780">
        <v>42.295000000000002</v>
      </c>
      <c r="AH780">
        <v>43.942999999999998</v>
      </c>
      <c r="AI780">
        <v>45.566000000000003</v>
      </c>
      <c r="AJ780">
        <v>47.165999999999997</v>
      </c>
      <c r="AK780">
        <v>48.747</v>
      </c>
      <c r="AL780">
        <v>50.313000000000002</v>
      </c>
    </row>
    <row r="781" spans="1:38" x14ac:dyDescent="0.3">
      <c r="A781">
        <v>8200</v>
      </c>
      <c r="B781">
        <v>296.7</v>
      </c>
      <c r="C781" t="s">
        <v>18</v>
      </c>
      <c r="D781">
        <v>1315.2</v>
      </c>
      <c r="E781">
        <v>2569.5</v>
      </c>
      <c r="F781" t="s">
        <v>21</v>
      </c>
      <c r="G781" t="s">
        <v>21</v>
      </c>
      <c r="H781" t="s">
        <v>21</v>
      </c>
      <c r="I781" t="s">
        <v>21</v>
      </c>
      <c r="J781" t="s">
        <v>21</v>
      </c>
      <c r="K781" t="s">
        <v>21</v>
      </c>
      <c r="L781" t="s">
        <v>21</v>
      </c>
      <c r="M781" t="s">
        <v>21</v>
      </c>
      <c r="N781" t="s">
        <v>21</v>
      </c>
      <c r="O781" t="s">
        <v>21</v>
      </c>
      <c r="P781" t="s">
        <v>21</v>
      </c>
      <c r="Q781" t="s">
        <v>21</v>
      </c>
      <c r="R781" t="s">
        <v>21</v>
      </c>
      <c r="S781" t="s">
        <v>21</v>
      </c>
      <c r="T781">
        <v>2583.6999999999998</v>
      </c>
      <c r="U781">
        <v>2657.7</v>
      </c>
      <c r="V781">
        <v>2672.8999999999996</v>
      </c>
      <c r="W781">
        <v>2718.5</v>
      </c>
      <c r="X781">
        <v>2745</v>
      </c>
      <c r="Y781">
        <v>2771.5</v>
      </c>
      <c r="Z781">
        <v>2807.5</v>
      </c>
      <c r="AA781">
        <v>2819.5</v>
      </c>
      <c r="AB781">
        <v>2864.1</v>
      </c>
      <c r="AC781">
        <v>2916.7</v>
      </c>
      <c r="AD781">
        <v>2966.9</v>
      </c>
      <c r="AE781">
        <v>3015.6</v>
      </c>
      <c r="AF781">
        <v>3063.3</v>
      </c>
      <c r="AG781">
        <v>3110.5</v>
      </c>
      <c r="AH781">
        <v>3157.4</v>
      </c>
      <c r="AI781">
        <v>3204.3</v>
      </c>
      <c r="AJ781">
        <v>3251.1</v>
      </c>
      <c r="AK781">
        <v>3298.1</v>
      </c>
      <c r="AL781">
        <v>3345.2</v>
      </c>
    </row>
    <row r="782" spans="1:38" x14ac:dyDescent="0.3">
      <c r="A782">
        <v>8200</v>
      </c>
      <c r="B782">
        <v>296.7</v>
      </c>
      <c r="C782" t="s">
        <v>19</v>
      </c>
      <c r="D782">
        <v>1326.6</v>
      </c>
      <c r="E782">
        <v>2757</v>
      </c>
      <c r="F782" t="s">
        <v>21</v>
      </c>
      <c r="G782" t="s">
        <v>21</v>
      </c>
      <c r="H782" t="s">
        <v>21</v>
      </c>
      <c r="I782" t="s">
        <v>21</v>
      </c>
      <c r="J782" t="s">
        <v>21</v>
      </c>
      <c r="K782" t="s">
        <v>21</v>
      </c>
      <c r="L782" t="s">
        <v>21</v>
      </c>
      <c r="M782" t="s">
        <v>21</v>
      </c>
      <c r="N782" t="s">
        <v>21</v>
      </c>
      <c r="O782" t="s">
        <v>21</v>
      </c>
      <c r="P782" t="s">
        <v>21</v>
      </c>
      <c r="Q782" t="s">
        <v>21</v>
      </c>
      <c r="R782" t="s">
        <v>21</v>
      </c>
      <c r="S782" t="s">
        <v>21</v>
      </c>
      <c r="T782">
        <v>2775.2</v>
      </c>
      <c r="U782">
        <v>2870.2</v>
      </c>
      <c r="V782">
        <v>2889.7999999999997</v>
      </c>
      <c r="W782">
        <v>2948.6</v>
      </c>
      <c r="X782">
        <v>2982.8999999999996</v>
      </c>
      <c r="Y782">
        <v>3017.2</v>
      </c>
      <c r="Z782">
        <v>3063.9250000000002</v>
      </c>
      <c r="AA782">
        <v>3079.5</v>
      </c>
      <c r="AB782">
        <v>3137.6</v>
      </c>
      <c r="AC782">
        <v>3206</v>
      </c>
      <c r="AD782">
        <v>3271.3</v>
      </c>
      <c r="AE782">
        <v>3334.5</v>
      </c>
      <c r="AF782">
        <v>3396.4</v>
      </c>
      <c r="AG782">
        <v>3457.3</v>
      </c>
      <c r="AH782">
        <v>3517.8</v>
      </c>
      <c r="AI782">
        <v>3577.9</v>
      </c>
      <c r="AJ782">
        <v>3637.9</v>
      </c>
      <c r="AK782">
        <v>3697.8</v>
      </c>
      <c r="AL782">
        <v>3757.7</v>
      </c>
    </row>
    <row r="783" spans="1:38" x14ac:dyDescent="0.3">
      <c r="A783">
        <v>8200</v>
      </c>
      <c r="B783">
        <v>296.7</v>
      </c>
      <c r="C783" t="s">
        <v>20</v>
      </c>
      <c r="D783">
        <v>3.2239</v>
      </c>
      <c r="E783">
        <v>5.7337999999999996</v>
      </c>
      <c r="F783" t="s">
        <v>21</v>
      </c>
      <c r="G783" t="s">
        <v>21</v>
      </c>
      <c r="H783" t="s">
        <v>21</v>
      </c>
      <c r="I783" t="s">
        <v>21</v>
      </c>
      <c r="J783" t="s">
        <v>21</v>
      </c>
      <c r="K783" t="s">
        <v>21</v>
      </c>
      <c r="L783" t="s">
        <v>21</v>
      </c>
      <c r="M783" t="s">
        <v>21</v>
      </c>
      <c r="N783" t="s">
        <v>21</v>
      </c>
      <c r="O783" t="s">
        <v>21</v>
      </c>
      <c r="P783" t="s">
        <v>21</v>
      </c>
      <c r="Q783" t="s">
        <v>21</v>
      </c>
      <c r="R783" t="s">
        <v>21</v>
      </c>
      <c r="S783" t="s">
        <v>21</v>
      </c>
      <c r="T783">
        <v>5.7656000000000001</v>
      </c>
      <c r="U783">
        <v>5.9287999999999998</v>
      </c>
      <c r="V783">
        <v>5.9612999999999996</v>
      </c>
      <c r="W783">
        <v>6.0587999999999997</v>
      </c>
      <c r="X783">
        <v>6.1138499999999993</v>
      </c>
      <c r="Y783">
        <v>6.1688999999999998</v>
      </c>
      <c r="Z783">
        <v>6.2416499999999999</v>
      </c>
      <c r="AA783">
        <v>6.2659000000000002</v>
      </c>
      <c r="AB783">
        <v>6.3533999999999997</v>
      </c>
      <c r="AC783">
        <v>6.4531999999999998</v>
      </c>
      <c r="AD783">
        <v>6.5452000000000004</v>
      </c>
      <c r="AE783">
        <v>6.6311</v>
      </c>
      <c r="AF783">
        <v>6.7123999999999997</v>
      </c>
      <c r="AG783">
        <v>6.79</v>
      </c>
      <c r="AH783">
        <v>6.8646000000000003</v>
      </c>
      <c r="AI783">
        <v>6.9364999999999997</v>
      </c>
      <c r="AJ783">
        <v>7.0061999999999998</v>
      </c>
      <c r="AK783">
        <v>7.0739000000000001</v>
      </c>
      <c r="AL783">
        <v>7.1397000000000004</v>
      </c>
    </row>
    <row r="784" spans="1:38" x14ac:dyDescent="0.3">
      <c r="A784">
        <v>8400</v>
      </c>
      <c r="B784">
        <v>298.39</v>
      </c>
      <c r="C784" t="s">
        <v>0</v>
      </c>
      <c r="D784">
        <v>1.3979999999999999</v>
      </c>
      <c r="E784">
        <v>22.231000000000002</v>
      </c>
      <c r="F784" t="s">
        <v>21</v>
      </c>
      <c r="G784" t="s">
        <v>21</v>
      </c>
      <c r="H784" t="s">
        <v>21</v>
      </c>
      <c r="I784" t="s">
        <v>21</v>
      </c>
      <c r="J784" t="s">
        <v>21</v>
      </c>
      <c r="K784" t="s">
        <v>21</v>
      </c>
      <c r="L784" t="s">
        <v>21</v>
      </c>
      <c r="M784" t="s">
        <v>21</v>
      </c>
      <c r="N784" t="s">
        <v>21</v>
      </c>
      <c r="O784" t="s">
        <v>21</v>
      </c>
      <c r="P784" t="s">
        <v>21</v>
      </c>
      <c r="Q784" t="s">
        <v>21</v>
      </c>
      <c r="R784" t="s">
        <v>21</v>
      </c>
      <c r="S784" t="s">
        <v>21</v>
      </c>
      <c r="T784">
        <v>22.469000000000001</v>
      </c>
      <c r="U784">
        <v>25.058</v>
      </c>
      <c r="V784">
        <v>25.594249999999999</v>
      </c>
      <c r="W784">
        <v>27.202999999999999</v>
      </c>
      <c r="X784">
        <v>28.148499999999999</v>
      </c>
      <c r="Y784">
        <v>29.094000000000001</v>
      </c>
      <c r="Z784">
        <v>30.389250000000001</v>
      </c>
      <c r="AA784">
        <v>30.821000000000002</v>
      </c>
      <c r="AB784">
        <v>32.435000000000002</v>
      </c>
      <c r="AC784">
        <v>34.337000000000003</v>
      </c>
      <c r="AD784">
        <v>36.146999999999998</v>
      </c>
      <c r="AE784">
        <v>37.887</v>
      </c>
      <c r="AF784">
        <v>39.576000000000001</v>
      </c>
      <c r="AG784">
        <v>41.223999999999997</v>
      </c>
      <c r="AH784">
        <v>42.838999999999999</v>
      </c>
      <c r="AI784">
        <v>44.429000000000002</v>
      </c>
      <c r="AJ784">
        <v>45.996000000000002</v>
      </c>
      <c r="AK784">
        <v>47.543999999999997</v>
      </c>
      <c r="AL784">
        <v>49.076000000000001</v>
      </c>
    </row>
    <row r="785" spans="1:38" x14ac:dyDescent="0.3">
      <c r="A785">
        <v>8400</v>
      </c>
      <c r="B785">
        <v>298.39</v>
      </c>
      <c r="C785" t="s">
        <v>18</v>
      </c>
      <c r="D785">
        <v>1324.3</v>
      </c>
      <c r="E785">
        <v>2567.1999999999998</v>
      </c>
      <c r="F785" t="s">
        <v>21</v>
      </c>
      <c r="G785" t="s">
        <v>21</v>
      </c>
      <c r="H785" t="s">
        <v>21</v>
      </c>
      <c r="I785" t="s">
        <v>21</v>
      </c>
      <c r="J785" t="s">
        <v>21</v>
      </c>
      <c r="K785" t="s">
        <v>21</v>
      </c>
      <c r="L785" t="s">
        <v>21</v>
      </c>
      <c r="M785" t="s">
        <v>21</v>
      </c>
      <c r="N785" t="s">
        <v>21</v>
      </c>
      <c r="O785" t="s">
        <v>21</v>
      </c>
      <c r="P785" t="s">
        <v>21</v>
      </c>
      <c r="Q785" t="s">
        <v>21</v>
      </c>
      <c r="R785" t="s">
        <v>21</v>
      </c>
      <c r="S785" t="s">
        <v>21</v>
      </c>
      <c r="T785">
        <v>2574.4</v>
      </c>
      <c r="U785">
        <v>2651.1</v>
      </c>
      <c r="V785">
        <v>2666.6750000000002</v>
      </c>
      <c r="W785">
        <v>2713.4</v>
      </c>
      <c r="X785">
        <v>2740.3500000000004</v>
      </c>
      <c r="Y785">
        <v>2767.3</v>
      </c>
      <c r="Z785">
        <v>2803.8249999999998</v>
      </c>
      <c r="AA785">
        <v>2816</v>
      </c>
      <c r="AB785">
        <v>2861.1</v>
      </c>
      <c r="AC785">
        <v>2914.1</v>
      </c>
      <c r="AD785">
        <v>2964.7</v>
      </c>
      <c r="AE785">
        <v>3013.6</v>
      </c>
      <c r="AF785">
        <v>3061.6</v>
      </c>
      <c r="AG785">
        <v>3108.9</v>
      </c>
      <c r="AH785">
        <v>3155.9</v>
      </c>
      <c r="AI785">
        <v>3202.9</v>
      </c>
      <c r="AJ785">
        <v>3249.8</v>
      </c>
      <c r="AK785">
        <v>3296.9</v>
      </c>
      <c r="AL785">
        <v>3344.1</v>
      </c>
    </row>
    <row r="786" spans="1:38" x14ac:dyDescent="0.3">
      <c r="A786">
        <v>8400</v>
      </c>
      <c r="B786">
        <v>298.39</v>
      </c>
      <c r="C786" t="s">
        <v>19</v>
      </c>
      <c r="D786">
        <v>1336.1</v>
      </c>
      <c r="E786">
        <v>2754</v>
      </c>
      <c r="F786" t="s">
        <v>21</v>
      </c>
      <c r="G786" t="s">
        <v>21</v>
      </c>
      <c r="H786" t="s">
        <v>21</v>
      </c>
      <c r="I786" t="s">
        <v>21</v>
      </c>
      <c r="J786" t="s">
        <v>21</v>
      </c>
      <c r="K786" t="s">
        <v>21</v>
      </c>
      <c r="L786" t="s">
        <v>21</v>
      </c>
      <c r="M786" t="s">
        <v>21</v>
      </c>
      <c r="N786" t="s">
        <v>21</v>
      </c>
      <c r="O786" t="s">
        <v>21</v>
      </c>
      <c r="P786" t="s">
        <v>21</v>
      </c>
      <c r="Q786" t="s">
        <v>21</v>
      </c>
      <c r="R786" t="s">
        <v>21</v>
      </c>
      <c r="S786" t="s">
        <v>21</v>
      </c>
      <c r="T786">
        <v>2763.1</v>
      </c>
      <c r="U786">
        <v>2861.6</v>
      </c>
      <c r="V786">
        <v>2881.6750000000002</v>
      </c>
      <c r="W786">
        <v>2941.9</v>
      </c>
      <c r="X786">
        <v>2976.8</v>
      </c>
      <c r="Y786">
        <v>3011.7</v>
      </c>
      <c r="Z786">
        <v>3059.0250000000001</v>
      </c>
      <c r="AA786">
        <v>3074.8</v>
      </c>
      <c r="AB786">
        <v>3133.5</v>
      </c>
      <c r="AC786">
        <v>3202.6</v>
      </c>
      <c r="AD786">
        <v>3268.3</v>
      </c>
      <c r="AE786">
        <v>3331.9</v>
      </c>
      <c r="AF786">
        <v>3394</v>
      </c>
      <c r="AG786">
        <v>3455.2</v>
      </c>
      <c r="AH786">
        <v>3515.8</v>
      </c>
      <c r="AI786">
        <v>3576.1</v>
      </c>
      <c r="AJ786">
        <v>3636.2</v>
      </c>
      <c r="AK786">
        <v>3696.2</v>
      </c>
      <c r="AL786">
        <v>3756.3</v>
      </c>
    </row>
    <row r="787" spans="1:38" x14ac:dyDescent="0.3">
      <c r="A787">
        <v>8400</v>
      </c>
      <c r="B787">
        <v>298.39</v>
      </c>
      <c r="C787" t="s">
        <v>20</v>
      </c>
      <c r="D787">
        <v>3.2399</v>
      </c>
      <c r="E787">
        <v>5.7206999999999999</v>
      </c>
      <c r="F787" t="s">
        <v>21</v>
      </c>
      <c r="G787" t="s">
        <v>21</v>
      </c>
      <c r="H787" t="s">
        <v>21</v>
      </c>
      <c r="I787" t="s">
        <v>21</v>
      </c>
      <c r="J787" t="s">
        <v>21</v>
      </c>
      <c r="K787" t="s">
        <v>21</v>
      </c>
      <c r="L787" t="s">
        <v>21</v>
      </c>
      <c r="M787" t="s">
        <v>21</v>
      </c>
      <c r="N787" t="s">
        <v>21</v>
      </c>
      <c r="O787" t="s">
        <v>21</v>
      </c>
      <c r="P787" t="s">
        <v>21</v>
      </c>
      <c r="Q787" t="s">
        <v>21</v>
      </c>
      <c r="R787" t="s">
        <v>21</v>
      </c>
      <c r="S787" t="s">
        <v>21</v>
      </c>
      <c r="T787">
        <v>5.7366000000000001</v>
      </c>
      <c r="U787">
        <v>5.9055999999999997</v>
      </c>
      <c r="V787">
        <v>5.9389000000000003</v>
      </c>
      <c r="W787">
        <v>6.0388000000000002</v>
      </c>
      <c r="X787">
        <v>6.0948500000000001</v>
      </c>
      <c r="Y787">
        <v>6.1509</v>
      </c>
      <c r="Z787">
        <v>6.2245500000000007</v>
      </c>
      <c r="AA787">
        <v>6.2491000000000003</v>
      </c>
      <c r="AB787">
        <v>6.3376000000000001</v>
      </c>
      <c r="AC787">
        <v>6.4382999999999999</v>
      </c>
      <c r="AD787">
        <v>6.5308999999999999</v>
      </c>
      <c r="AE787">
        <v>6.6173000000000002</v>
      </c>
      <c r="AF787">
        <v>6.6989999999999998</v>
      </c>
      <c r="AG787">
        <v>6.7769000000000004</v>
      </c>
      <c r="AH787">
        <v>6.8516000000000004</v>
      </c>
      <c r="AI787">
        <v>6.9238</v>
      </c>
      <c r="AJ787">
        <v>6.9935999999999998</v>
      </c>
      <c r="AK787">
        <v>7.0613999999999999</v>
      </c>
      <c r="AL787">
        <v>7.1273999999999997</v>
      </c>
    </row>
    <row r="788" spans="1:38" x14ac:dyDescent="0.3">
      <c r="A788">
        <v>8600</v>
      </c>
      <c r="B788">
        <v>300.06</v>
      </c>
      <c r="C788" t="s">
        <v>0</v>
      </c>
      <c r="D788">
        <v>1.4039999999999999</v>
      </c>
      <c r="E788">
        <v>21.626999999999999</v>
      </c>
      <c r="F788" t="s">
        <v>21</v>
      </c>
      <c r="G788" t="s">
        <v>21</v>
      </c>
      <c r="H788" t="s">
        <v>21</v>
      </c>
      <c r="I788" t="s">
        <v>21</v>
      </c>
      <c r="J788" t="s">
        <v>21</v>
      </c>
      <c r="K788" t="s">
        <v>21</v>
      </c>
      <c r="L788" t="s">
        <v>21</v>
      </c>
      <c r="M788" t="s">
        <v>21</v>
      </c>
      <c r="N788" t="s">
        <v>21</v>
      </c>
      <c r="O788" t="s">
        <v>21</v>
      </c>
      <c r="P788" t="s">
        <v>21</v>
      </c>
      <c r="Q788" t="s">
        <v>21</v>
      </c>
      <c r="R788" t="s">
        <v>21</v>
      </c>
      <c r="S788" t="s">
        <v>21</v>
      </c>
      <c r="T788" t="s">
        <v>21</v>
      </c>
      <c r="U788">
        <v>24.236000000000001</v>
      </c>
      <c r="V788">
        <v>24.771999999999998</v>
      </c>
      <c r="W788">
        <v>26.38</v>
      </c>
      <c r="X788">
        <v>27.318999999999999</v>
      </c>
      <c r="Y788">
        <v>28.257999999999999</v>
      </c>
      <c r="Z788">
        <v>29.540500000000002</v>
      </c>
      <c r="AA788">
        <v>29.968</v>
      </c>
      <c r="AB788">
        <v>31.561</v>
      </c>
      <c r="AC788">
        <v>33.436999999999998</v>
      </c>
      <c r="AD788">
        <v>35.216999999999999</v>
      </c>
      <c r="AE788">
        <v>36.927999999999997</v>
      </c>
      <c r="AF788">
        <v>38.585999999999999</v>
      </c>
      <c r="AG788">
        <v>40.201999999999998</v>
      </c>
      <c r="AH788">
        <v>41.786999999999999</v>
      </c>
      <c r="AI788">
        <v>43.344999999999999</v>
      </c>
      <c r="AJ788">
        <v>44.88</v>
      </c>
      <c r="AK788">
        <v>46.396999999999998</v>
      </c>
      <c r="AL788">
        <v>47.896999999999998</v>
      </c>
    </row>
    <row r="789" spans="1:38" x14ac:dyDescent="0.3">
      <c r="A789">
        <v>8600</v>
      </c>
      <c r="B789">
        <v>300.06</v>
      </c>
      <c r="C789" t="s">
        <v>18</v>
      </c>
      <c r="D789">
        <v>1333.3</v>
      </c>
      <c r="E789">
        <v>2564.9</v>
      </c>
      <c r="F789" t="s">
        <v>21</v>
      </c>
      <c r="G789" t="s">
        <v>21</v>
      </c>
      <c r="H789" t="s">
        <v>21</v>
      </c>
      <c r="I789" t="s">
        <v>21</v>
      </c>
      <c r="J789" t="s">
        <v>21</v>
      </c>
      <c r="K789" t="s">
        <v>21</v>
      </c>
      <c r="L789" t="s">
        <v>21</v>
      </c>
      <c r="M789" t="s">
        <v>21</v>
      </c>
      <c r="N789" t="s">
        <v>21</v>
      </c>
      <c r="O789" t="s">
        <v>21</v>
      </c>
      <c r="P789" t="s">
        <v>21</v>
      </c>
      <c r="Q789" t="s">
        <v>21</v>
      </c>
      <c r="R789" t="s">
        <v>21</v>
      </c>
      <c r="S789" t="s">
        <v>21</v>
      </c>
      <c r="T789" t="s">
        <v>21</v>
      </c>
      <c r="U789">
        <v>2644.3</v>
      </c>
      <c r="V789">
        <v>2660.25</v>
      </c>
      <c r="W789">
        <v>2708.1</v>
      </c>
      <c r="X789">
        <v>2735.6</v>
      </c>
      <c r="Y789">
        <v>2763.1</v>
      </c>
      <c r="Z789">
        <v>2800.0749999999998</v>
      </c>
      <c r="AA789">
        <v>2812.4</v>
      </c>
      <c r="AB789">
        <v>2858</v>
      </c>
      <c r="AC789">
        <v>2911.5</v>
      </c>
      <c r="AD789">
        <v>2962.4</v>
      </c>
      <c r="AE789">
        <v>3011.6</v>
      </c>
      <c r="AF789">
        <v>3059.8</v>
      </c>
      <c r="AG789">
        <v>3107.3</v>
      </c>
      <c r="AH789">
        <v>3154.4</v>
      </c>
      <c r="AI789">
        <v>3201.5</v>
      </c>
      <c r="AJ789">
        <v>3248.5</v>
      </c>
      <c r="AK789">
        <v>3295.7</v>
      </c>
      <c r="AL789">
        <v>3342.9</v>
      </c>
    </row>
    <row r="790" spans="1:38" x14ac:dyDescent="0.3">
      <c r="A790">
        <v>8600</v>
      </c>
      <c r="B790">
        <v>300.06</v>
      </c>
      <c r="C790" t="s">
        <v>19</v>
      </c>
      <c r="D790">
        <v>1345.4</v>
      </c>
      <c r="E790">
        <v>2750.9</v>
      </c>
      <c r="F790" t="s">
        <v>21</v>
      </c>
      <c r="G790" t="s">
        <v>21</v>
      </c>
      <c r="H790" t="s">
        <v>21</v>
      </c>
      <c r="I790" t="s">
        <v>21</v>
      </c>
      <c r="J790" t="s">
        <v>21</v>
      </c>
      <c r="K790" t="s">
        <v>21</v>
      </c>
      <c r="L790" t="s">
        <v>21</v>
      </c>
      <c r="M790" t="s">
        <v>21</v>
      </c>
      <c r="N790" t="s">
        <v>21</v>
      </c>
      <c r="O790" t="s">
        <v>21</v>
      </c>
      <c r="P790" t="s">
        <v>21</v>
      </c>
      <c r="Q790" t="s">
        <v>21</v>
      </c>
      <c r="R790" t="s">
        <v>21</v>
      </c>
      <c r="S790" t="s">
        <v>21</v>
      </c>
      <c r="T790" t="s">
        <v>21</v>
      </c>
      <c r="U790">
        <v>2852.7</v>
      </c>
      <c r="V790">
        <v>2873.2749999999996</v>
      </c>
      <c r="W790">
        <v>2935</v>
      </c>
      <c r="X790">
        <v>2970.55</v>
      </c>
      <c r="Y790">
        <v>3006.1</v>
      </c>
      <c r="Z790">
        <v>3054.1</v>
      </c>
      <c r="AA790">
        <v>3070.1</v>
      </c>
      <c r="AB790">
        <v>3129.4</v>
      </c>
      <c r="AC790">
        <v>3199.1</v>
      </c>
      <c r="AD790">
        <v>3265.3</v>
      </c>
      <c r="AE790">
        <v>3329.2</v>
      </c>
      <c r="AF790">
        <v>3391.6</v>
      </c>
      <c r="AG790">
        <v>3453</v>
      </c>
      <c r="AH790">
        <v>3513.8</v>
      </c>
      <c r="AI790">
        <v>3574.3</v>
      </c>
      <c r="AJ790">
        <v>3634.5</v>
      </c>
      <c r="AK790">
        <v>3694.7</v>
      </c>
      <c r="AL790">
        <v>3754.9</v>
      </c>
    </row>
    <row r="791" spans="1:38" x14ac:dyDescent="0.3">
      <c r="A791">
        <v>8600</v>
      </c>
      <c r="B791">
        <v>300.06</v>
      </c>
      <c r="C791" t="s">
        <v>20</v>
      </c>
      <c r="D791">
        <v>3.2557</v>
      </c>
      <c r="E791">
        <v>5.7076000000000002</v>
      </c>
      <c r="F791" t="s">
        <v>21</v>
      </c>
      <c r="G791" t="s">
        <v>21</v>
      </c>
      <c r="H791" t="s">
        <v>21</v>
      </c>
      <c r="I791" t="s">
        <v>21</v>
      </c>
      <c r="J791" t="s">
        <v>21</v>
      </c>
      <c r="K791" t="s">
        <v>21</v>
      </c>
      <c r="L791" t="s">
        <v>21</v>
      </c>
      <c r="M791" t="s">
        <v>21</v>
      </c>
      <c r="N791" t="s">
        <v>21</v>
      </c>
      <c r="O791" t="s">
        <v>21</v>
      </c>
      <c r="P791" t="s">
        <v>21</v>
      </c>
      <c r="Q791" t="s">
        <v>21</v>
      </c>
      <c r="R791" t="s">
        <v>21</v>
      </c>
      <c r="S791" t="s">
        <v>21</v>
      </c>
      <c r="T791" t="s">
        <v>21</v>
      </c>
      <c r="U791">
        <v>5.8822999999999999</v>
      </c>
      <c r="V791">
        <v>5.9164500000000002</v>
      </c>
      <c r="W791">
        <v>6.0189000000000004</v>
      </c>
      <c r="X791">
        <v>6.0759500000000006</v>
      </c>
      <c r="Y791">
        <v>6.133</v>
      </c>
      <c r="Z791">
        <v>6.2077</v>
      </c>
      <c r="AA791">
        <v>6.2325999999999997</v>
      </c>
      <c r="AB791">
        <v>6.3220000000000001</v>
      </c>
      <c r="AC791">
        <v>6.4236000000000004</v>
      </c>
      <c r="AD791">
        <v>6.5167999999999999</v>
      </c>
      <c r="AE791">
        <v>6.6036999999999999</v>
      </c>
      <c r="AF791">
        <v>6.6858000000000004</v>
      </c>
      <c r="AG791">
        <v>6.7638999999999996</v>
      </c>
      <c r="AH791">
        <v>6.8390000000000004</v>
      </c>
      <c r="AI791">
        <v>6.9112999999999998</v>
      </c>
      <c r="AJ791">
        <v>6.9813000000000001</v>
      </c>
      <c r="AK791">
        <v>7.0491999999999999</v>
      </c>
      <c r="AL791">
        <v>7.1153000000000004</v>
      </c>
    </row>
    <row r="792" spans="1:38" x14ac:dyDescent="0.3">
      <c r="A792">
        <v>8800</v>
      </c>
      <c r="B792">
        <v>301.7</v>
      </c>
      <c r="C792" t="s">
        <v>0</v>
      </c>
      <c r="D792">
        <v>1.411</v>
      </c>
      <c r="E792">
        <v>21.048999999999999</v>
      </c>
      <c r="F792" t="s">
        <v>21</v>
      </c>
      <c r="G792" t="s">
        <v>21</v>
      </c>
      <c r="H792" t="s">
        <v>21</v>
      </c>
      <c r="I792" t="s">
        <v>21</v>
      </c>
      <c r="J792" t="s">
        <v>21</v>
      </c>
      <c r="K792" t="s">
        <v>21</v>
      </c>
      <c r="L792" t="s">
        <v>21</v>
      </c>
      <c r="M792" t="s">
        <v>21</v>
      </c>
      <c r="N792" t="s">
        <v>21</v>
      </c>
      <c r="O792" t="s">
        <v>21</v>
      </c>
      <c r="P792" t="s">
        <v>21</v>
      </c>
      <c r="Q792" t="s">
        <v>21</v>
      </c>
      <c r="R792" t="s">
        <v>21</v>
      </c>
      <c r="S792" t="s">
        <v>21</v>
      </c>
      <c r="T792" t="s">
        <v>21</v>
      </c>
      <c r="U792">
        <v>23.446000000000002</v>
      </c>
      <c r="V792">
        <v>23.982500000000002</v>
      </c>
      <c r="W792">
        <v>25.591999999999999</v>
      </c>
      <c r="X792">
        <v>26.525500000000001</v>
      </c>
      <c r="Y792">
        <v>27.459</v>
      </c>
      <c r="Z792">
        <v>28.729499999999998</v>
      </c>
      <c r="AA792">
        <v>29.152999999999999</v>
      </c>
      <c r="AB792">
        <v>30.727</v>
      </c>
      <c r="AC792">
        <v>32.576000000000001</v>
      </c>
      <c r="AD792">
        <v>34.329000000000001</v>
      </c>
      <c r="AE792">
        <v>36.011000000000003</v>
      </c>
      <c r="AF792">
        <v>37.64</v>
      </c>
      <c r="AG792">
        <v>39.228000000000002</v>
      </c>
      <c r="AH792">
        <v>40.781999999999996</v>
      </c>
      <c r="AI792">
        <v>42.31</v>
      </c>
      <c r="AJ792">
        <v>43.814999999999998</v>
      </c>
      <c r="AK792">
        <v>45.301000000000002</v>
      </c>
      <c r="AL792">
        <v>46.771000000000001</v>
      </c>
    </row>
    <row r="793" spans="1:38" x14ac:dyDescent="0.3">
      <c r="A793">
        <v>8800</v>
      </c>
      <c r="B793">
        <v>301.7</v>
      </c>
      <c r="C793" t="s">
        <v>18</v>
      </c>
      <c r="D793">
        <v>1342.2</v>
      </c>
      <c r="E793">
        <v>2562.6</v>
      </c>
      <c r="F793" t="s">
        <v>21</v>
      </c>
      <c r="G793" t="s">
        <v>21</v>
      </c>
      <c r="H793" t="s">
        <v>21</v>
      </c>
      <c r="I793" t="s">
        <v>21</v>
      </c>
      <c r="J793" t="s">
        <v>21</v>
      </c>
      <c r="K793" t="s">
        <v>21</v>
      </c>
      <c r="L793" t="s">
        <v>21</v>
      </c>
      <c r="M793" t="s">
        <v>21</v>
      </c>
      <c r="N793" t="s">
        <v>21</v>
      </c>
      <c r="O793" t="s">
        <v>21</v>
      </c>
      <c r="P793" t="s">
        <v>21</v>
      </c>
      <c r="Q793" t="s">
        <v>21</v>
      </c>
      <c r="R793" t="s">
        <v>21</v>
      </c>
      <c r="S793" t="s">
        <v>21</v>
      </c>
      <c r="T793" t="s">
        <v>21</v>
      </c>
      <c r="U793">
        <v>2637.3</v>
      </c>
      <c r="V793">
        <v>2653.6750000000002</v>
      </c>
      <c r="W793">
        <v>2702.8</v>
      </c>
      <c r="X793">
        <v>2730.8</v>
      </c>
      <c r="Y793">
        <v>2758.8</v>
      </c>
      <c r="Z793">
        <v>2796.3</v>
      </c>
      <c r="AA793">
        <v>2808.8</v>
      </c>
      <c r="AB793">
        <v>2854.9</v>
      </c>
      <c r="AC793">
        <v>2908.9</v>
      </c>
      <c r="AD793">
        <v>2960.1</v>
      </c>
      <c r="AE793">
        <v>3009.6</v>
      </c>
      <c r="AF793">
        <v>3058</v>
      </c>
      <c r="AG793">
        <v>3105.6</v>
      </c>
      <c r="AH793">
        <v>3152.9</v>
      </c>
      <c r="AI793">
        <v>3200.1</v>
      </c>
      <c r="AJ793">
        <v>3247.2</v>
      </c>
      <c r="AK793">
        <v>3294.5</v>
      </c>
      <c r="AL793">
        <v>3341.8</v>
      </c>
    </row>
    <row r="794" spans="1:38" x14ac:dyDescent="0.3">
      <c r="A794">
        <v>8800</v>
      </c>
      <c r="B794">
        <v>301.7</v>
      </c>
      <c r="C794" t="s">
        <v>19</v>
      </c>
      <c r="D794">
        <v>1354.6</v>
      </c>
      <c r="E794">
        <v>2747.8</v>
      </c>
      <c r="F794" t="s">
        <v>21</v>
      </c>
      <c r="G794" t="s">
        <v>21</v>
      </c>
      <c r="H794" t="s">
        <v>21</v>
      </c>
      <c r="I794" t="s">
        <v>21</v>
      </c>
      <c r="J794" t="s">
        <v>21</v>
      </c>
      <c r="K794" t="s">
        <v>21</v>
      </c>
      <c r="L794" t="s">
        <v>21</v>
      </c>
      <c r="M794" t="s">
        <v>21</v>
      </c>
      <c r="N794" t="s">
        <v>21</v>
      </c>
      <c r="O794" t="s">
        <v>21</v>
      </c>
      <c r="P794" t="s">
        <v>21</v>
      </c>
      <c r="Q794" t="s">
        <v>21</v>
      </c>
      <c r="R794" t="s">
        <v>21</v>
      </c>
      <c r="S794" t="s">
        <v>21</v>
      </c>
      <c r="T794" t="s">
        <v>21</v>
      </c>
      <c r="U794">
        <v>2843.6</v>
      </c>
      <c r="V794">
        <v>2864.7</v>
      </c>
      <c r="W794">
        <v>2928</v>
      </c>
      <c r="X794">
        <v>2964.2</v>
      </c>
      <c r="Y794">
        <v>3000.4</v>
      </c>
      <c r="Z794">
        <v>3049.0750000000003</v>
      </c>
      <c r="AA794">
        <v>3065.3</v>
      </c>
      <c r="AB794">
        <v>3125.3</v>
      </c>
      <c r="AC794">
        <v>3195.6</v>
      </c>
      <c r="AD794">
        <v>3262.2</v>
      </c>
      <c r="AE794">
        <v>3326.5</v>
      </c>
      <c r="AF794">
        <v>3389.2</v>
      </c>
      <c r="AG794">
        <v>3450.8</v>
      </c>
      <c r="AH794">
        <v>3511.8</v>
      </c>
      <c r="AI794">
        <v>3572.4</v>
      </c>
      <c r="AJ794">
        <v>3632.8</v>
      </c>
      <c r="AK794">
        <v>3693.1</v>
      </c>
      <c r="AL794">
        <v>3753.4</v>
      </c>
    </row>
    <row r="795" spans="1:38" x14ac:dyDescent="0.3">
      <c r="A795">
        <v>8800</v>
      </c>
      <c r="B795">
        <v>301.7</v>
      </c>
      <c r="C795" t="s">
        <v>20</v>
      </c>
      <c r="D795">
        <v>3.2713000000000001</v>
      </c>
      <c r="E795">
        <v>5.6947999999999999</v>
      </c>
      <c r="F795" t="s">
        <v>21</v>
      </c>
      <c r="G795" t="s">
        <v>21</v>
      </c>
      <c r="H795" t="s">
        <v>21</v>
      </c>
      <c r="I795" t="s">
        <v>21</v>
      </c>
      <c r="J795" t="s">
        <v>21</v>
      </c>
      <c r="K795" t="s">
        <v>21</v>
      </c>
      <c r="L795" t="s">
        <v>21</v>
      </c>
      <c r="M795" t="s">
        <v>21</v>
      </c>
      <c r="N795" t="s">
        <v>21</v>
      </c>
      <c r="O795" t="s">
        <v>21</v>
      </c>
      <c r="P795" t="s">
        <v>21</v>
      </c>
      <c r="Q795" t="s">
        <v>21</v>
      </c>
      <c r="R795" t="s">
        <v>21</v>
      </c>
      <c r="S795" t="s">
        <v>21</v>
      </c>
      <c r="T795" t="s">
        <v>21</v>
      </c>
      <c r="U795">
        <v>5.859</v>
      </c>
      <c r="V795">
        <v>5.8940000000000001</v>
      </c>
      <c r="W795">
        <v>5.9989999999999997</v>
      </c>
      <c r="X795">
        <v>6.0571000000000002</v>
      </c>
      <c r="Y795">
        <v>6.1151999999999997</v>
      </c>
      <c r="Z795">
        <v>6.19095</v>
      </c>
      <c r="AA795">
        <v>6.2161999999999997</v>
      </c>
      <c r="AB795">
        <v>6.3067000000000002</v>
      </c>
      <c r="AC795">
        <v>6.4092000000000002</v>
      </c>
      <c r="AD795">
        <v>6.5030000000000001</v>
      </c>
      <c r="AE795">
        <v>6.5903999999999998</v>
      </c>
      <c r="AF795">
        <v>6.6727999999999996</v>
      </c>
      <c r="AG795">
        <v>6.7512999999999996</v>
      </c>
      <c r="AH795">
        <v>6.8265000000000002</v>
      </c>
      <c r="AI795">
        <v>6.899</v>
      </c>
      <c r="AJ795">
        <v>6.9691999999999998</v>
      </c>
      <c r="AK795">
        <v>7.0373000000000001</v>
      </c>
      <c r="AL795">
        <v>7.1035000000000004</v>
      </c>
    </row>
    <row r="796" spans="1:38" x14ac:dyDescent="0.3">
      <c r="A796">
        <v>9000</v>
      </c>
      <c r="B796">
        <v>303.31</v>
      </c>
      <c r="C796" t="s">
        <v>0</v>
      </c>
      <c r="D796">
        <v>1.4179999999999999</v>
      </c>
      <c r="E796">
        <v>20.495000000000001</v>
      </c>
      <c r="F796" t="s">
        <v>21</v>
      </c>
      <c r="G796" t="s">
        <v>21</v>
      </c>
      <c r="H796" t="s">
        <v>21</v>
      </c>
      <c r="I796" t="s">
        <v>21</v>
      </c>
      <c r="J796" t="s">
        <v>21</v>
      </c>
      <c r="K796" t="s">
        <v>21</v>
      </c>
      <c r="L796" t="s">
        <v>21</v>
      </c>
      <c r="M796" t="s">
        <v>21</v>
      </c>
      <c r="N796" t="s">
        <v>21</v>
      </c>
      <c r="O796" t="s">
        <v>21</v>
      </c>
      <c r="P796" t="s">
        <v>21</v>
      </c>
      <c r="Q796" t="s">
        <v>21</v>
      </c>
      <c r="R796" t="s">
        <v>21</v>
      </c>
      <c r="S796" t="s">
        <v>21</v>
      </c>
      <c r="T796" t="s">
        <v>21</v>
      </c>
      <c r="U796">
        <v>22.684999999999999</v>
      </c>
      <c r="V796">
        <v>23.222749999999998</v>
      </c>
      <c r="W796">
        <v>24.835999999999999</v>
      </c>
      <c r="X796">
        <v>25.765000000000001</v>
      </c>
      <c r="Y796">
        <v>26.693999999999999</v>
      </c>
      <c r="Z796">
        <v>27.952500000000001</v>
      </c>
      <c r="AA796">
        <v>28.372</v>
      </c>
      <c r="AB796">
        <v>29.928999999999998</v>
      </c>
      <c r="AC796">
        <v>31.754000000000001</v>
      </c>
      <c r="AD796">
        <v>33.479999999999997</v>
      </c>
      <c r="AE796">
        <v>35.136000000000003</v>
      </c>
      <c r="AF796">
        <v>36.737000000000002</v>
      </c>
      <c r="AG796">
        <v>38.295999999999999</v>
      </c>
      <c r="AH796">
        <v>39.822000000000003</v>
      </c>
      <c r="AI796">
        <v>41.320999999999998</v>
      </c>
      <c r="AJ796">
        <v>42.798000000000002</v>
      </c>
      <c r="AK796">
        <v>44.255000000000003</v>
      </c>
      <c r="AL796">
        <v>45.695</v>
      </c>
    </row>
    <row r="797" spans="1:38" x14ac:dyDescent="0.3">
      <c r="A797">
        <v>9000</v>
      </c>
      <c r="B797">
        <v>303.31</v>
      </c>
      <c r="C797" t="s">
        <v>18</v>
      </c>
      <c r="D797">
        <v>1351</v>
      </c>
      <c r="E797">
        <v>2560.1</v>
      </c>
      <c r="F797" t="s">
        <v>21</v>
      </c>
      <c r="G797" t="s">
        <v>21</v>
      </c>
      <c r="H797" t="s">
        <v>21</v>
      </c>
      <c r="I797" t="s">
        <v>21</v>
      </c>
      <c r="J797" t="s">
        <v>21</v>
      </c>
      <c r="K797" t="s">
        <v>21</v>
      </c>
      <c r="L797" t="s">
        <v>21</v>
      </c>
      <c r="M797" t="s">
        <v>21</v>
      </c>
      <c r="N797" t="s">
        <v>21</v>
      </c>
      <c r="O797" t="s">
        <v>21</v>
      </c>
      <c r="P797" t="s">
        <v>21</v>
      </c>
      <c r="Q797" t="s">
        <v>21</v>
      </c>
      <c r="R797" t="s">
        <v>21</v>
      </c>
      <c r="S797" t="s">
        <v>21</v>
      </c>
      <c r="T797" t="s">
        <v>21</v>
      </c>
      <c r="U797">
        <v>2630.1</v>
      </c>
      <c r="V797">
        <v>2646.9250000000002</v>
      </c>
      <c r="W797">
        <v>2697.4</v>
      </c>
      <c r="X797">
        <v>2725.9</v>
      </c>
      <c r="Y797">
        <v>2754.4</v>
      </c>
      <c r="Z797">
        <v>2792.5</v>
      </c>
      <c r="AA797">
        <v>2805.2</v>
      </c>
      <c r="AB797">
        <v>2851.8</v>
      </c>
      <c r="AC797">
        <v>2906.3</v>
      </c>
      <c r="AD797">
        <v>2957.8</v>
      </c>
      <c r="AE797">
        <v>3007.6</v>
      </c>
      <c r="AF797">
        <v>3056.1</v>
      </c>
      <c r="AG797">
        <v>3104</v>
      </c>
      <c r="AH797">
        <v>3151.4</v>
      </c>
      <c r="AI797">
        <v>3198.7</v>
      </c>
      <c r="AJ797">
        <v>3246</v>
      </c>
      <c r="AK797">
        <v>3293.3</v>
      </c>
      <c r="AL797">
        <v>3340.7</v>
      </c>
    </row>
    <row r="798" spans="1:38" x14ac:dyDescent="0.3">
      <c r="A798">
        <v>9000</v>
      </c>
      <c r="B798">
        <v>303.31</v>
      </c>
      <c r="C798" t="s">
        <v>19</v>
      </c>
      <c r="D798">
        <v>1363.7</v>
      </c>
      <c r="E798">
        <v>2744.6</v>
      </c>
      <c r="F798" t="s">
        <v>21</v>
      </c>
      <c r="G798" t="s">
        <v>21</v>
      </c>
      <c r="H798" t="s">
        <v>21</v>
      </c>
      <c r="I798" t="s">
        <v>21</v>
      </c>
      <c r="J798" t="s">
        <v>21</v>
      </c>
      <c r="K798" t="s">
        <v>21</v>
      </c>
      <c r="L798" t="s">
        <v>21</v>
      </c>
      <c r="M798" t="s">
        <v>21</v>
      </c>
      <c r="N798" t="s">
        <v>21</v>
      </c>
      <c r="O798" t="s">
        <v>21</v>
      </c>
      <c r="P798" t="s">
        <v>21</v>
      </c>
      <c r="Q798" t="s">
        <v>21</v>
      </c>
      <c r="R798" t="s">
        <v>21</v>
      </c>
      <c r="S798" t="s">
        <v>21</v>
      </c>
      <c r="T798" t="s">
        <v>21</v>
      </c>
      <c r="U798">
        <v>2834.3</v>
      </c>
      <c r="V798">
        <v>2855.9500000000003</v>
      </c>
      <c r="W798">
        <v>2920.9</v>
      </c>
      <c r="X798">
        <v>2957.8</v>
      </c>
      <c r="Y798">
        <v>2994.7</v>
      </c>
      <c r="Z798">
        <v>3044.05</v>
      </c>
      <c r="AA798">
        <v>3060.5</v>
      </c>
      <c r="AB798">
        <v>3121.2</v>
      </c>
      <c r="AC798">
        <v>3192</v>
      </c>
      <c r="AD798">
        <v>3259.2</v>
      </c>
      <c r="AE798">
        <v>3323.8</v>
      </c>
      <c r="AF798">
        <v>3386.8</v>
      </c>
      <c r="AG798">
        <v>3448.7</v>
      </c>
      <c r="AH798">
        <v>3509.8</v>
      </c>
      <c r="AI798">
        <v>3570.6</v>
      </c>
      <c r="AJ798">
        <v>3631.1</v>
      </c>
      <c r="AK798">
        <v>3691.6</v>
      </c>
      <c r="AL798">
        <v>3752</v>
      </c>
    </row>
    <row r="799" spans="1:38" x14ac:dyDescent="0.3">
      <c r="A799">
        <v>9000</v>
      </c>
      <c r="B799">
        <v>303.31</v>
      </c>
      <c r="C799" t="s">
        <v>20</v>
      </c>
      <c r="D799">
        <v>3.2867000000000002</v>
      </c>
      <c r="E799">
        <v>5.6820000000000004</v>
      </c>
      <c r="F799" t="s">
        <v>21</v>
      </c>
      <c r="G799" t="s">
        <v>21</v>
      </c>
      <c r="H799" t="s">
        <v>21</v>
      </c>
      <c r="I799" t="s">
        <v>21</v>
      </c>
      <c r="J799" t="s">
        <v>21</v>
      </c>
      <c r="K799" t="s">
        <v>21</v>
      </c>
      <c r="L799" t="s">
        <v>21</v>
      </c>
      <c r="M799" t="s">
        <v>21</v>
      </c>
      <c r="N799" t="s">
        <v>21</v>
      </c>
      <c r="O799" t="s">
        <v>21</v>
      </c>
      <c r="P799" t="s">
        <v>21</v>
      </c>
      <c r="Q799" t="s">
        <v>21</v>
      </c>
      <c r="R799" t="s">
        <v>21</v>
      </c>
      <c r="S799" t="s">
        <v>21</v>
      </c>
      <c r="T799" t="s">
        <v>21</v>
      </c>
      <c r="U799">
        <v>5.8354999999999997</v>
      </c>
      <c r="V799">
        <v>5.8714249999999995</v>
      </c>
      <c r="W799">
        <v>5.9791999999999996</v>
      </c>
      <c r="X799">
        <v>6.0383999999999993</v>
      </c>
      <c r="Y799">
        <v>6.0975999999999999</v>
      </c>
      <c r="Z799">
        <v>6.1744000000000003</v>
      </c>
      <c r="AA799">
        <v>6.2</v>
      </c>
      <c r="AB799">
        <v>6.2915000000000001</v>
      </c>
      <c r="AC799">
        <v>6.3948999999999998</v>
      </c>
      <c r="AD799">
        <v>6.4893999999999998</v>
      </c>
      <c r="AE799">
        <v>6.5773000000000001</v>
      </c>
      <c r="AF799">
        <v>6.66</v>
      </c>
      <c r="AG799">
        <v>6.7388000000000003</v>
      </c>
      <c r="AH799">
        <v>6.8143000000000002</v>
      </c>
      <c r="AI799">
        <v>6.8869999999999996</v>
      </c>
      <c r="AJ799">
        <v>6.9573999999999998</v>
      </c>
      <c r="AK799">
        <v>7.0255999999999998</v>
      </c>
      <c r="AL799">
        <v>7.0918999999999999</v>
      </c>
    </row>
    <row r="800" spans="1:38" x14ac:dyDescent="0.3">
      <c r="A800">
        <v>9200</v>
      </c>
      <c r="B800">
        <v>304.89</v>
      </c>
      <c r="C800" t="s">
        <v>0</v>
      </c>
      <c r="D800">
        <v>1.425</v>
      </c>
      <c r="E800">
        <v>19.963999999999999</v>
      </c>
      <c r="F800" t="s">
        <v>21</v>
      </c>
      <c r="G800" t="s">
        <v>21</v>
      </c>
      <c r="H800" t="s">
        <v>21</v>
      </c>
      <c r="I800" t="s">
        <v>21</v>
      </c>
      <c r="J800" t="s">
        <v>21</v>
      </c>
      <c r="K800" t="s">
        <v>21</v>
      </c>
      <c r="L800" t="s">
        <v>21</v>
      </c>
      <c r="M800" t="s">
        <v>21</v>
      </c>
      <c r="N800" t="s">
        <v>21</v>
      </c>
      <c r="O800" t="s">
        <v>21</v>
      </c>
      <c r="P800" t="s">
        <v>21</v>
      </c>
      <c r="Q800" t="s">
        <v>21</v>
      </c>
      <c r="R800" t="s">
        <v>21</v>
      </c>
      <c r="S800" t="s">
        <v>21</v>
      </c>
      <c r="T800" t="s">
        <v>21</v>
      </c>
      <c r="U800">
        <v>21.952000000000002</v>
      </c>
      <c r="V800">
        <v>22.491500000000002</v>
      </c>
      <c r="W800">
        <v>24.11</v>
      </c>
      <c r="X800">
        <v>25.035499999999999</v>
      </c>
      <c r="Y800">
        <v>25.960999999999999</v>
      </c>
      <c r="Z800">
        <v>27.209</v>
      </c>
      <c r="AA800">
        <v>27.625</v>
      </c>
      <c r="AB800">
        <v>29.164999999999999</v>
      </c>
      <c r="AC800">
        <v>30.966000000000001</v>
      </c>
      <c r="AD800">
        <v>32.667999999999999</v>
      </c>
      <c r="AE800">
        <v>34.298000000000002</v>
      </c>
      <c r="AF800">
        <v>35.872</v>
      </c>
      <c r="AG800">
        <v>37.405000000000001</v>
      </c>
      <c r="AH800">
        <v>38.904000000000003</v>
      </c>
      <c r="AI800">
        <v>40.375</v>
      </c>
      <c r="AJ800">
        <v>41.823999999999998</v>
      </c>
      <c r="AK800">
        <v>43.253999999999998</v>
      </c>
      <c r="AL800">
        <v>44.667000000000002</v>
      </c>
    </row>
    <row r="801" spans="1:38" x14ac:dyDescent="0.3">
      <c r="A801">
        <v>9200</v>
      </c>
      <c r="B801">
        <v>304.89</v>
      </c>
      <c r="C801" t="s">
        <v>18</v>
      </c>
      <c r="D801">
        <v>1359.7</v>
      </c>
      <c r="E801">
        <v>2557.6999999999998</v>
      </c>
      <c r="F801" t="s">
        <v>21</v>
      </c>
      <c r="G801" t="s">
        <v>21</v>
      </c>
      <c r="H801" t="s">
        <v>21</v>
      </c>
      <c r="I801" t="s">
        <v>21</v>
      </c>
      <c r="J801" t="s">
        <v>21</v>
      </c>
      <c r="K801" t="s">
        <v>21</v>
      </c>
      <c r="L801" t="s">
        <v>21</v>
      </c>
      <c r="M801" t="s">
        <v>21</v>
      </c>
      <c r="N801" t="s">
        <v>21</v>
      </c>
      <c r="O801" t="s">
        <v>21</v>
      </c>
      <c r="P801" t="s">
        <v>21</v>
      </c>
      <c r="Q801" t="s">
        <v>21</v>
      </c>
      <c r="R801" t="s">
        <v>21</v>
      </c>
      <c r="S801" t="s">
        <v>21</v>
      </c>
      <c r="T801" t="s">
        <v>21</v>
      </c>
      <c r="U801">
        <v>2622.7</v>
      </c>
      <c r="V801">
        <v>2640</v>
      </c>
      <c r="W801">
        <v>2691.9</v>
      </c>
      <c r="X801">
        <v>2720.95</v>
      </c>
      <c r="Y801">
        <v>2750</v>
      </c>
      <c r="Z801">
        <v>2788.625</v>
      </c>
      <c r="AA801">
        <v>2801.5</v>
      </c>
      <c r="AB801">
        <v>2848.7</v>
      </c>
      <c r="AC801">
        <v>2903.6</v>
      </c>
      <c r="AD801">
        <v>2955.5</v>
      </c>
      <c r="AE801">
        <v>3005.6</v>
      </c>
      <c r="AF801">
        <v>3054.3</v>
      </c>
      <c r="AG801">
        <v>3102.3</v>
      </c>
      <c r="AH801">
        <v>3149.9</v>
      </c>
      <c r="AI801">
        <v>3197.3</v>
      </c>
      <c r="AJ801">
        <v>3244.7</v>
      </c>
      <c r="AK801">
        <v>3292.1</v>
      </c>
      <c r="AL801">
        <v>3339.6</v>
      </c>
    </row>
    <row r="802" spans="1:38" x14ac:dyDescent="0.3">
      <c r="A802">
        <v>9200</v>
      </c>
      <c r="B802">
        <v>304.89</v>
      </c>
      <c r="C802" t="s">
        <v>19</v>
      </c>
      <c r="D802">
        <v>1372.8</v>
      </c>
      <c r="E802">
        <v>2741.3</v>
      </c>
      <c r="F802" t="s">
        <v>21</v>
      </c>
      <c r="G802" t="s">
        <v>21</v>
      </c>
      <c r="H802" t="s">
        <v>21</v>
      </c>
      <c r="I802" t="s">
        <v>21</v>
      </c>
      <c r="J802" t="s">
        <v>21</v>
      </c>
      <c r="K802" t="s">
        <v>21</v>
      </c>
      <c r="L802" t="s">
        <v>21</v>
      </c>
      <c r="M802" t="s">
        <v>21</v>
      </c>
      <c r="N802" t="s">
        <v>21</v>
      </c>
      <c r="O802" t="s">
        <v>21</v>
      </c>
      <c r="P802" t="s">
        <v>21</v>
      </c>
      <c r="Q802" t="s">
        <v>21</v>
      </c>
      <c r="R802" t="s">
        <v>21</v>
      </c>
      <c r="S802" t="s">
        <v>21</v>
      </c>
      <c r="T802" t="s">
        <v>21</v>
      </c>
      <c r="U802">
        <v>2824.7</v>
      </c>
      <c r="V802">
        <v>2846.95</v>
      </c>
      <c r="W802">
        <v>2913.7</v>
      </c>
      <c r="X802">
        <v>2951.3</v>
      </c>
      <c r="Y802">
        <v>2988.9</v>
      </c>
      <c r="Z802">
        <v>3039</v>
      </c>
      <c r="AA802">
        <v>3055.7</v>
      </c>
      <c r="AB802">
        <v>3117</v>
      </c>
      <c r="AC802">
        <v>3188.5</v>
      </c>
      <c r="AD802">
        <v>3256.1</v>
      </c>
      <c r="AE802">
        <v>3321.1</v>
      </c>
      <c r="AF802">
        <v>3384.4</v>
      </c>
      <c r="AG802">
        <v>3446.5</v>
      </c>
      <c r="AH802">
        <v>3507.8</v>
      </c>
      <c r="AI802">
        <v>3568.8</v>
      </c>
      <c r="AJ802">
        <v>3629.5</v>
      </c>
      <c r="AK802">
        <v>3690</v>
      </c>
      <c r="AL802">
        <v>3750.5</v>
      </c>
    </row>
    <row r="803" spans="1:38" x14ac:dyDescent="0.3">
      <c r="A803">
        <v>9200</v>
      </c>
      <c r="B803">
        <v>304.89</v>
      </c>
      <c r="C803" t="s">
        <v>20</v>
      </c>
      <c r="D803">
        <v>3.3018000000000001</v>
      </c>
      <c r="E803">
        <v>5.6694000000000004</v>
      </c>
      <c r="F803" t="s">
        <v>21</v>
      </c>
      <c r="G803" t="s">
        <v>21</v>
      </c>
      <c r="H803" t="s">
        <v>21</v>
      </c>
      <c r="I803" t="s">
        <v>21</v>
      </c>
      <c r="J803" t="s">
        <v>21</v>
      </c>
      <c r="K803" t="s">
        <v>21</v>
      </c>
      <c r="L803" t="s">
        <v>21</v>
      </c>
      <c r="M803" t="s">
        <v>21</v>
      </c>
      <c r="N803" t="s">
        <v>21</v>
      </c>
      <c r="O803" t="s">
        <v>21</v>
      </c>
      <c r="P803" t="s">
        <v>21</v>
      </c>
      <c r="Q803" t="s">
        <v>21</v>
      </c>
      <c r="R803" t="s">
        <v>21</v>
      </c>
      <c r="S803" t="s">
        <v>21</v>
      </c>
      <c r="T803" t="s">
        <v>21</v>
      </c>
      <c r="U803">
        <v>5.8117999999999999</v>
      </c>
      <c r="V803">
        <v>5.8487</v>
      </c>
      <c r="W803">
        <v>5.9593999999999996</v>
      </c>
      <c r="X803">
        <v>6.0197500000000002</v>
      </c>
      <c r="Y803">
        <v>6.0800999999999998</v>
      </c>
      <c r="Z803">
        <v>6.1580250000000003</v>
      </c>
      <c r="AA803">
        <v>6.1840000000000002</v>
      </c>
      <c r="AB803">
        <v>6.2765000000000004</v>
      </c>
      <c r="AC803">
        <v>6.3807999999999998</v>
      </c>
      <c r="AD803">
        <v>6.476</v>
      </c>
      <c r="AE803">
        <v>6.5644</v>
      </c>
      <c r="AF803">
        <v>6.6475</v>
      </c>
      <c r="AG803">
        <v>6.7266000000000004</v>
      </c>
      <c r="AH803">
        <v>6.8022999999999998</v>
      </c>
      <c r="AI803">
        <v>6.8752000000000004</v>
      </c>
      <c r="AJ803">
        <v>6.9457000000000004</v>
      </c>
      <c r="AK803">
        <v>7.0141</v>
      </c>
      <c r="AL803">
        <v>7.0805999999999996</v>
      </c>
    </row>
    <row r="804" spans="1:38" x14ac:dyDescent="0.3">
      <c r="A804">
        <v>9400</v>
      </c>
      <c r="B804">
        <v>306.44</v>
      </c>
      <c r="C804" t="s">
        <v>0</v>
      </c>
      <c r="D804">
        <v>1.4319999999999999</v>
      </c>
      <c r="E804">
        <v>19.454999999999998</v>
      </c>
      <c r="F804" t="s">
        <v>21</v>
      </c>
      <c r="G804" t="s">
        <v>21</v>
      </c>
      <c r="H804" t="s">
        <v>21</v>
      </c>
      <c r="I804" t="s">
        <v>21</v>
      </c>
      <c r="J804" t="s">
        <v>21</v>
      </c>
      <c r="K804" t="s">
        <v>21</v>
      </c>
      <c r="L804" t="s">
        <v>21</v>
      </c>
      <c r="M804" t="s">
        <v>21</v>
      </c>
      <c r="N804" t="s">
        <v>21</v>
      </c>
      <c r="O804" t="s">
        <v>21</v>
      </c>
      <c r="P804" t="s">
        <v>21</v>
      </c>
      <c r="Q804" t="s">
        <v>21</v>
      </c>
      <c r="R804" t="s">
        <v>21</v>
      </c>
      <c r="S804" t="s">
        <v>21</v>
      </c>
      <c r="T804" t="s">
        <v>21</v>
      </c>
      <c r="U804">
        <v>21.245000000000001</v>
      </c>
      <c r="V804">
        <v>21.786750000000001</v>
      </c>
      <c r="W804">
        <v>23.411999999999999</v>
      </c>
      <c r="X804">
        <v>24.334499999999998</v>
      </c>
      <c r="Y804">
        <v>25.257000000000001</v>
      </c>
      <c r="Z804">
        <v>26.495999999999999</v>
      </c>
      <c r="AA804">
        <v>26.908999999999999</v>
      </c>
      <c r="AB804">
        <v>28.433</v>
      </c>
      <c r="AC804">
        <v>30.212</v>
      </c>
      <c r="AD804">
        <v>31.890999999999998</v>
      </c>
      <c r="AE804">
        <v>33.494999999999997</v>
      </c>
      <c r="AF804">
        <v>35.045000000000002</v>
      </c>
      <c r="AG804">
        <v>36.552</v>
      </c>
      <c r="AH804">
        <v>38.024000000000001</v>
      </c>
      <c r="AI804">
        <v>39.47</v>
      </c>
      <c r="AJ804">
        <v>40.892000000000003</v>
      </c>
      <c r="AK804">
        <v>42.295000000000002</v>
      </c>
      <c r="AL804">
        <v>43.682000000000002</v>
      </c>
    </row>
    <row r="805" spans="1:38" x14ac:dyDescent="0.3">
      <c r="A805">
        <v>9400</v>
      </c>
      <c r="B805">
        <v>306.44</v>
      </c>
      <c r="C805" t="s">
        <v>18</v>
      </c>
      <c r="D805">
        <v>1368.2</v>
      </c>
      <c r="E805">
        <v>2555.1999999999998</v>
      </c>
      <c r="F805" t="s">
        <v>21</v>
      </c>
      <c r="G805" t="s">
        <v>21</v>
      </c>
      <c r="H805" t="s">
        <v>21</v>
      </c>
      <c r="I805" t="s">
        <v>21</v>
      </c>
      <c r="J805" t="s">
        <v>21</v>
      </c>
      <c r="K805" t="s">
        <v>21</v>
      </c>
      <c r="L805" t="s">
        <v>21</v>
      </c>
      <c r="M805" t="s">
        <v>21</v>
      </c>
      <c r="N805" t="s">
        <v>21</v>
      </c>
      <c r="O805" t="s">
        <v>21</v>
      </c>
      <c r="P805" t="s">
        <v>21</v>
      </c>
      <c r="Q805" t="s">
        <v>21</v>
      </c>
      <c r="R805" t="s">
        <v>21</v>
      </c>
      <c r="S805" t="s">
        <v>21</v>
      </c>
      <c r="T805" t="s">
        <v>21</v>
      </c>
      <c r="U805">
        <v>2615.1</v>
      </c>
      <c r="V805">
        <v>2632.9</v>
      </c>
      <c r="W805">
        <v>2686.3</v>
      </c>
      <c r="X805">
        <v>2715.95</v>
      </c>
      <c r="Y805">
        <v>2745.6</v>
      </c>
      <c r="Z805">
        <v>2784.75</v>
      </c>
      <c r="AA805">
        <v>2797.8</v>
      </c>
      <c r="AB805">
        <v>2845.5</v>
      </c>
      <c r="AC805">
        <v>2900.9</v>
      </c>
      <c r="AD805">
        <v>2953.2</v>
      </c>
      <c r="AE805">
        <v>3003.5</v>
      </c>
      <c r="AF805">
        <v>3052.5</v>
      </c>
      <c r="AG805">
        <v>3100.7</v>
      </c>
      <c r="AH805">
        <v>3148.4</v>
      </c>
      <c r="AI805">
        <v>3195.9</v>
      </c>
      <c r="AJ805">
        <v>3243.4</v>
      </c>
      <c r="AK805">
        <v>3290.9</v>
      </c>
      <c r="AL805">
        <v>3338.5</v>
      </c>
    </row>
    <row r="806" spans="1:38" x14ac:dyDescent="0.3">
      <c r="A806">
        <v>9400</v>
      </c>
      <c r="B806">
        <v>306.44</v>
      </c>
      <c r="C806" t="s">
        <v>19</v>
      </c>
      <c r="D806">
        <v>1381.7</v>
      </c>
      <c r="E806">
        <v>2738</v>
      </c>
      <c r="F806" t="s">
        <v>21</v>
      </c>
      <c r="G806" t="s">
        <v>21</v>
      </c>
      <c r="H806" t="s">
        <v>21</v>
      </c>
      <c r="I806" t="s">
        <v>21</v>
      </c>
      <c r="J806" t="s">
        <v>21</v>
      </c>
      <c r="K806" t="s">
        <v>21</v>
      </c>
      <c r="L806" t="s">
        <v>21</v>
      </c>
      <c r="M806" t="s">
        <v>21</v>
      </c>
      <c r="N806" t="s">
        <v>21</v>
      </c>
      <c r="O806" t="s">
        <v>21</v>
      </c>
      <c r="P806" t="s">
        <v>21</v>
      </c>
      <c r="Q806" t="s">
        <v>21</v>
      </c>
      <c r="R806" t="s">
        <v>21</v>
      </c>
      <c r="S806" t="s">
        <v>21</v>
      </c>
      <c r="T806" t="s">
        <v>21</v>
      </c>
      <c r="U806">
        <v>2814.8</v>
      </c>
      <c r="V806">
        <v>2837.6750000000002</v>
      </c>
      <c r="W806">
        <v>2906.3</v>
      </c>
      <c r="X806">
        <v>2944.65</v>
      </c>
      <c r="Y806">
        <v>2983</v>
      </c>
      <c r="Z806">
        <v>3033.7749999999996</v>
      </c>
      <c r="AA806">
        <v>3050.7</v>
      </c>
      <c r="AB806">
        <v>3112.8</v>
      </c>
      <c r="AC806">
        <v>3184.9</v>
      </c>
      <c r="AD806">
        <v>3253</v>
      </c>
      <c r="AE806">
        <v>3318.4</v>
      </c>
      <c r="AF806">
        <v>3381.9</v>
      </c>
      <c r="AG806">
        <v>3444.3</v>
      </c>
      <c r="AH806">
        <v>3505.9</v>
      </c>
      <c r="AI806">
        <v>3566.9</v>
      </c>
      <c r="AJ806">
        <v>3627.8</v>
      </c>
      <c r="AK806">
        <v>3688.4</v>
      </c>
      <c r="AL806">
        <v>3749.1</v>
      </c>
    </row>
    <row r="807" spans="1:38" x14ac:dyDescent="0.3">
      <c r="A807">
        <v>9400</v>
      </c>
      <c r="B807">
        <v>306.44</v>
      </c>
      <c r="C807" t="s">
        <v>20</v>
      </c>
      <c r="D807">
        <v>3.3168000000000002</v>
      </c>
      <c r="E807">
        <v>5.6567999999999996</v>
      </c>
      <c r="F807" t="s">
        <v>21</v>
      </c>
      <c r="G807" t="s">
        <v>21</v>
      </c>
      <c r="H807" t="s">
        <v>21</v>
      </c>
      <c r="I807" t="s">
        <v>21</v>
      </c>
      <c r="J807" t="s">
        <v>21</v>
      </c>
      <c r="K807" t="s">
        <v>21</v>
      </c>
      <c r="L807" t="s">
        <v>21</v>
      </c>
      <c r="M807" t="s">
        <v>21</v>
      </c>
      <c r="N807" t="s">
        <v>21</v>
      </c>
      <c r="O807" t="s">
        <v>21</v>
      </c>
      <c r="P807" t="s">
        <v>21</v>
      </c>
      <c r="Q807" t="s">
        <v>21</v>
      </c>
      <c r="R807" t="s">
        <v>21</v>
      </c>
      <c r="S807" t="s">
        <v>21</v>
      </c>
      <c r="T807" t="s">
        <v>21</v>
      </c>
      <c r="U807">
        <v>5.7878999999999996</v>
      </c>
      <c r="V807">
        <v>5.82585</v>
      </c>
      <c r="W807">
        <v>5.9397000000000002</v>
      </c>
      <c r="X807">
        <v>6.0012000000000008</v>
      </c>
      <c r="Y807">
        <v>6.0627000000000004</v>
      </c>
      <c r="Z807">
        <v>6.14175</v>
      </c>
      <c r="AA807">
        <v>6.1680999999999999</v>
      </c>
      <c r="AB807">
        <v>6.2617000000000003</v>
      </c>
      <c r="AC807">
        <v>6.3669000000000002</v>
      </c>
      <c r="AD807">
        <v>6.4627999999999997</v>
      </c>
      <c r="AE807">
        <v>6.5517000000000003</v>
      </c>
      <c r="AF807">
        <v>6.6352000000000002</v>
      </c>
      <c r="AG807">
        <v>6.7145999999999999</v>
      </c>
      <c r="AH807">
        <v>6.7906000000000004</v>
      </c>
      <c r="AI807">
        <v>6.8636999999999997</v>
      </c>
      <c r="AJ807">
        <v>6.9343000000000004</v>
      </c>
      <c r="AK807">
        <v>7.0029000000000003</v>
      </c>
      <c r="AL807">
        <v>7.0694999999999997</v>
      </c>
    </row>
    <row r="808" spans="1:38" x14ac:dyDescent="0.3">
      <c r="A808">
        <v>9600</v>
      </c>
      <c r="B808">
        <v>307.97000000000003</v>
      </c>
      <c r="C808" t="s">
        <v>0</v>
      </c>
      <c r="D808">
        <v>1.4390000000000001</v>
      </c>
      <c r="E808">
        <v>18.965</v>
      </c>
      <c r="F808" t="s">
        <v>21</v>
      </c>
      <c r="G808" t="s">
        <v>21</v>
      </c>
      <c r="H808" t="s">
        <v>21</v>
      </c>
      <c r="I808" t="s">
        <v>21</v>
      </c>
      <c r="J808" t="s">
        <v>21</v>
      </c>
      <c r="K808" t="s">
        <v>21</v>
      </c>
      <c r="L808" t="s">
        <v>21</v>
      </c>
      <c r="M808" t="s">
        <v>21</v>
      </c>
      <c r="N808" t="s">
        <v>21</v>
      </c>
      <c r="O808" t="s">
        <v>21</v>
      </c>
      <c r="P808" t="s">
        <v>21</v>
      </c>
      <c r="Q808" t="s">
        <v>21</v>
      </c>
      <c r="R808" t="s">
        <v>21</v>
      </c>
      <c r="S808" t="s">
        <v>21</v>
      </c>
      <c r="T808" t="s">
        <v>21</v>
      </c>
      <c r="U808">
        <v>20.561</v>
      </c>
      <c r="V808">
        <v>21.10575</v>
      </c>
      <c r="W808">
        <v>22.74</v>
      </c>
      <c r="X808">
        <v>23.660499999999999</v>
      </c>
      <c r="Y808">
        <v>24.581</v>
      </c>
      <c r="Z808">
        <v>25.811</v>
      </c>
      <c r="AA808">
        <v>26.221</v>
      </c>
      <c r="AB808">
        <v>27.731000000000002</v>
      </c>
      <c r="AC808">
        <v>29.489000000000001</v>
      </c>
      <c r="AD808">
        <v>31.145</v>
      </c>
      <c r="AE808">
        <v>32.725999999999999</v>
      </c>
      <c r="AF808">
        <v>34.252000000000002</v>
      </c>
      <c r="AG808">
        <v>35.734000000000002</v>
      </c>
      <c r="AH808">
        <v>37.182000000000002</v>
      </c>
      <c r="AI808">
        <v>38.601999999999997</v>
      </c>
      <c r="AJ808">
        <v>39.999000000000002</v>
      </c>
      <c r="AK808">
        <v>41.377000000000002</v>
      </c>
      <c r="AL808">
        <v>42.738</v>
      </c>
    </row>
    <row r="809" spans="1:38" x14ac:dyDescent="0.3">
      <c r="A809">
        <v>9600</v>
      </c>
      <c r="B809">
        <v>307.97000000000003</v>
      </c>
      <c r="C809" t="s">
        <v>18</v>
      </c>
      <c r="D809">
        <v>1376.7</v>
      </c>
      <c r="E809">
        <v>2552.6</v>
      </c>
      <c r="F809" t="s">
        <v>21</v>
      </c>
      <c r="G809" t="s">
        <v>21</v>
      </c>
      <c r="H809" t="s">
        <v>21</v>
      </c>
      <c r="I809" t="s">
        <v>21</v>
      </c>
      <c r="J809" t="s">
        <v>21</v>
      </c>
      <c r="K809" t="s">
        <v>21</v>
      </c>
      <c r="L809" t="s">
        <v>21</v>
      </c>
      <c r="M809" t="s">
        <v>21</v>
      </c>
      <c r="N809" t="s">
        <v>21</v>
      </c>
      <c r="O809" t="s">
        <v>21</v>
      </c>
      <c r="P809" t="s">
        <v>21</v>
      </c>
      <c r="Q809" t="s">
        <v>21</v>
      </c>
      <c r="R809" t="s">
        <v>21</v>
      </c>
      <c r="S809" t="s">
        <v>21</v>
      </c>
      <c r="T809" t="s">
        <v>21</v>
      </c>
      <c r="U809">
        <v>2607.3000000000002</v>
      </c>
      <c r="V809">
        <v>2625.6000000000004</v>
      </c>
      <c r="W809">
        <v>2680.5</v>
      </c>
      <c r="X809">
        <v>2710.75</v>
      </c>
      <c r="Y809">
        <v>2741</v>
      </c>
      <c r="Z809">
        <v>2780.8249999999998</v>
      </c>
      <c r="AA809">
        <v>2794.1</v>
      </c>
      <c r="AB809">
        <v>2842.3</v>
      </c>
      <c r="AC809">
        <v>2898.2</v>
      </c>
      <c r="AD809">
        <v>2950.9</v>
      </c>
      <c r="AE809">
        <v>3001.5</v>
      </c>
      <c r="AF809">
        <v>3050.7</v>
      </c>
      <c r="AG809">
        <v>3099</v>
      </c>
      <c r="AH809">
        <v>3146.9</v>
      </c>
      <c r="AI809">
        <v>3194.5</v>
      </c>
      <c r="AJ809">
        <v>3242.1</v>
      </c>
      <c r="AK809">
        <v>3289.7</v>
      </c>
      <c r="AL809">
        <v>3337.4</v>
      </c>
    </row>
    <row r="810" spans="1:38" x14ac:dyDescent="0.3">
      <c r="A810">
        <v>9600</v>
      </c>
      <c r="B810">
        <v>307.97000000000003</v>
      </c>
      <c r="C810" t="s">
        <v>19</v>
      </c>
      <c r="D810">
        <v>1390.6</v>
      </c>
      <c r="E810">
        <v>2734.7</v>
      </c>
      <c r="F810" t="s">
        <v>21</v>
      </c>
      <c r="G810" t="s">
        <v>21</v>
      </c>
      <c r="H810" t="s">
        <v>21</v>
      </c>
      <c r="I810" t="s">
        <v>21</v>
      </c>
      <c r="J810" t="s">
        <v>21</v>
      </c>
      <c r="K810" t="s">
        <v>21</v>
      </c>
      <c r="L810" t="s">
        <v>21</v>
      </c>
      <c r="M810" t="s">
        <v>21</v>
      </c>
      <c r="N810" t="s">
        <v>21</v>
      </c>
      <c r="O810" t="s">
        <v>21</v>
      </c>
      <c r="P810" t="s">
        <v>21</v>
      </c>
      <c r="Q810" t="s">
        <v>21</v>
      </c>
      <c r="R810" t="s">
        <v>21</v>
      </c>
      <c r="S810" t="s">
        <v>21</v>
      </c>
      <c r="T810" t="s">
        <v>21</v>
      </c>
      <c r="U810">
        <v>2804.7</v>
      </c>
      <c r="V810">
        <v>2828.2249999999999</v>
      </c>
      <c r="W810">
        <v>2898.8</v>
      </c>
      <c r="X810">
        <v>2937.9</v>
      </c>
      <c r="Y810">
        <v>2977</v>
      </c>
      <c r="Z810">
        <v>3028.6000000000004</v>
      </c>
      <c r="AA810">
        <v>3045.8</v>
      </c>
      <c r="AB810">
        <v>3108.5</v>
      </c>
      <c r="AC810">
        <v>3181.3</v>
      </c>
      <c r="AD810">
        <v>3249.9</v>
      </c>
      <c r="AE810">
        <v>3315.6</v>
      </c>
      <c r="AF810">
        <v>3379.5</v>
      </c>
      <c r="AG810">
        <v>3442.1</v>
      </c>
      <c r="AH810">
        <v>3503.9</v>
      </c>
      <c r="AI810">
        <v>3565.1</v>
      </c>
      <c r="AJ810">
        <v>3626.1</v>
      </c>
      <c r="AK810">
        <v>3686.9</v>
      </c>
      <c r="AL810">
        <v>3747.6</v>
      </c>
    </row>
    <row r="811" spans="1:38" x14ac:dyDescent="0.3">
      <c r="A811">
        <v>9600</v>
      </c>
      <c r="B811">
        <v>307.97000000000003</v>
      </c>
      <c r="C811" t="s">
        <v>20</v>
      </c>
      <c r="D811">
        <v>3.3315000000000001</v>
      </c>
      <c r="E811">
        <v>5.6444000000000001</v>
      </c>
      <c r="F811" t="s">
        <v>21</v>
      </c>
      <c r="G811" t="s">
        <v>21</v>
      </c>
      <c r="H811" t="s">
        <v>21</v>
      </c>
      <c r="I811" t="s">
        <v>21</v>
      </c>
      <c r="J811" t="s">
        <v>21</v>
      </c>
      <c r="K811" t="s">
        <v>21</v>
      </c>
      <c r="L811" t="s">
        <v>21</v>
      </c>
      <c r="M811" t="s">
        <v>21</v>
      </c>
      <c r="N811" t="s">
        <v>21</v>
      </c>
      <c r="O811" t="s">
        <v>21</v>
      </c>
      <c r="P811" t="s">
        <v>21</v>
      </c>
      <c r="Q811" t="s">
        <v>21</v>
      </c>
      <c r="R811" t="s">
        <v>21</v>
      </c>
      <c r="S811" t="s">
        <v>21</v>
      </c>
      <c r="T811" t="s">
        <v>21</v>
      </c>
      <c r="U811">
        <v>5.7637</v>
      </c>
      <c r="V811">
        <v>5.8027499999999996</v>
      </c>
      <c r="W811">
        <v>5.9199000000000002</v>
      </c>
      <c r="X811">
        <v>5.9826499999999996</v>
      </c>
      <c r="Y811">
        <v>6.0453999999999999</v>
      </c>
      <c r="Z811">
        <v>6.1256500000000003</v>
      </c>
      <c r="AA811">
        <v>6.1524000000000001</v>
      </c>
      <c r="AB811">
        <v>6.2469999999999999</v>
      </c>
      <c r="AC811">
        <v>6.3532000000000002</v>
      </c>
      <c r="AD811">
        <v>6.4497999999999998</v>
      </c>
      <c r="AE811">
        <v>6.5392000000000001</v>
      </c>
      <c r="AF811">
        <v>6.6231</v>
      </c>
      <c r="AG811">
        <v>6.7027999999999999</v>
      </c>
      <c r="AH811">
        <v>6.7789999999999999</v>
      </c>
      <c r="AI811">
        <v>6.8522999999999996</v>
      </c>
      <c r="AJ811">
        <v>6.9230999999999998</v>
      </c>
      <c r="AK811">
        <v>6.9917999999999996</v>
      </c>
      <c r="AL811">
        <v>7.0585000000000004</v>
      </c>
    </row>
    <row r="812" spans="1:38" x14ac:dyDescent="0.3">
      <c r="A812">
        <v>9800</v>
      </c>
      <c r="B812">
        <v>309.48</v>
      </c>
      <c r="C812" t="s">
        <v>0</v>
      </c>
      <c r="D812">
        <v>1.446</v>
      </c>
      <c r="E812">
        <v>18.494</v>
      </c>
      <c r="F812" t="s">
        <v>21</v>
      </c>
      <c r="G812" t="s">
        <v>21</v>
      </c>
      <c r="H812" t="s">
        <v>21</v>
      </c>
      <c r="I812" t="s">
        <v>21</v>
      </c>
      <c r="J812" t="s">
        <v>21</v>
      </c>
      <c r="K812" t="s">
        <v>21</v>
      </c>
      <c r="L812" t="s">
        <v>21</v>
      </c>
      <c r="M812" t="s">
        <v>21</v>
      </c>
      <c r="N812" t="s">
        <v>21</v>
      </c>
      <c r="O812" t="s">
        <v>21</v>
      </c>
      <c r="P812" t="s">
        <v>21</v>
      </c>
      <c r="Q812" t="s">
        <v>21</v>
      </c>
      <c r="R812" t="s">
        <v>21</v>
      </c>
      <c r="S812" t="s">
        <v>21</v>
      </c>
      <c r="T812" t="s">
        <v>21</v>
      </c>
      <c r="U812">
        <v>19.899000000000001</v>
      </c>
      <c r="V812">
        <v>20.447500000000002</v>
      </c>
      <c r="W812">
        <v>22.093</v>
      </c>
      <c r="X812">
        <v>23.012</v>
      </c>
      <c r="Y812">
        <v>23.931000000000001</v>
      </c>
      <c r="Z812">
        <v>25.153500000000001</v>
      </c>
      <c r="AA812">
        <v>25.561</v>
      </c>
      <c r="AB812">
        <v>27.056000000000001</v>
      </c>
      <c r="AC812">
        <v>28.795000000000002</v>
      </c>
      <c r="AD812">
        <v>30.428999999999998</v>
      </c>
      <c r="AE812">
        <v>31.988</v>
      </c>
      <c r="AF812">
        <v>33.491</v>
      </c>
      <c r="AG812">
        <v>34.948999999999998</v>
      </c>
      <c r="AH812">
        <v>36.372999999999998</v>
      </c>
      <c r="AI812">
        <v>37.768999999999998</v>
      </c>
      <c r="AJ812">
        <v>39.142000000000003</v>
      </c>
      <c r="AK812">
        <v>40.496000000000002</v>
      </c>
      <c r="AL812">
        <v>41.832000000000001</v>
      </c>
    </row>
    <row r="813" spans="1:38" x14ac:dyDescent="0.3">
      <c r="A813">
        <v>9800</v>
      </c>
      <c r="B813">
        <v>309.48</v>
      </c>
      <c r="C813" t="s">
        <v>18</v>
      </c>
      <c r="D813">
        <v>1385.2</v>
      </c>
      <c r="E813">
        <v>2550</v>
      </c>
      <c r="F813" t="s">
        <v>21</v>
      </c>
      <c r="G813" t="s">
        <v>21</v>
      </c>
      <c r="H813" t="s">
        <v>21</v>
      </c>
      <c r="I813" t="s">
        <v>21</v>
      </c>
      <c r="J813" t="s">
        <v>21</v>
      </c>
      <c r="K813" t="s">
        <v>21</v>
      </c>
      <c r="L813" t="s">
        <v>21</v>
      </c>
      <c r="M813" t="s">
        <v>21</v>
      </c>
      <c r="N813" t="s">
        <v>21</v>
      </c>
      <c r="O813" t="s">
        <v>21</v>
      </c>
      <c r="P813" t="s">
        <v>21</v>
      </c>
      <c r="Q813" t="s">
        <v>21</v>
      </c>
      <c r="R813" t="s">
        <v>21</v>
      </c>
      <c r="S813" t="s">
        <v>21</v>
      </c>
      <c r="T813" t="s">
        <v>21</v>
      </c>
      <c r="U813">
        <v>2599.1999999999998</v>
      </c>
      <c r="V813">
        <v>2618.0749999999998</v>
      </c>
      <c r="W813">
        <v>2674.7</v>
      </c>
      <c r="X813">
        <v>2705.55</v>
      </c>
      <c r="Y813">
        <v>2736.4</v>
      </c>
      <c r="Z813">
        <v>2776.8250000000003</v>
      </c>
      <c r="AA813">
        <v>2790.3</v>
      </c>
      <c r="AB813">
        <v>2839.1</v>
      </c>
      <c r="AC813">
        <v>2895.5</v>
      </c>
      <c r="AD813">
        <v>2948.6</v>
      </c>
      <c r="AE813">
        <v>2999.4</v>
      </c>
      <c r="AF813">
        <v>3048.8</v>
      </c>
      <c r="AG813">
        <v>3097.4</v>
      </c>
      <c r="AH813">
        <v>3145.4</v>
      </c>
      <c r="AI813">
        <v>3193.1</v>
      </c>
      <c r="AJ813">
        <v>3240.8</v>
      </c>
      <c r="AK813">
        <v>3288.5</v>
      </c>
      <c r="AL813">
        <v>3336.2</v>
      </c>
    </row>
    <row r="814" spans="1:38" x14ac:dyDescent="0.3">
      <c r="A814">
        <v>9800</v>
      </c>
      <c r="B814">
        <v>309.48</v>
      </c>
      <c r="C814" t="s">
        <v>19</v>
      </c>
      <c r="D814">
        <v>1399.3</v>
      </c>
      <c r="E814">
        <v>2731.2</v>
      </c>
      <c r="F814" t="s">
        <v>21</v>
      </c>
      <c r="G814" t="s">
        <v>21</v>
      </c>
      <c r="H814" t="s">
        <v>21</v>
      </c>
      <c r="I814" t="s">
        <v>21</v>
      </c>
      <c r="J814" t="s">
        <v>21</v>
      </c>
      <c r="K814" t="s">
        <v>21</v>
      </c>
      <c r="L814" t="s">
        <v>21</v>
      </c>
      <c r="M814" t="s">
        <v>21</v>
      </c>
      <c r="N814" t="s">
        <v>21</v>
      </c>
      <c r="O814" t="s">
        <v>21</v>
      </c>
      <c r="P814" t="s">
        <v>21</v>
      </c>
      <c r="Q814" t="s">
        <v>21</v>
      </c>
      <c r="R814" t="s">
        <v>21</v>
      </c>
      <c r="S814" t="s">
        <v>21</v>
      </c>
      <c r="T814" t="s">
        <v>21</v>
      </c>
      <c r="U814">
        <v>2794.3</v>
      </c>
      <c r="V814">
        <v>2818.5250000000001</v>
      </c>
      <c r="W814">
        <v>2891.2</v>
      </c>
      <c r="X814">
        <v>2931.1</v>
      </c>
      <c r="Y814">
        <v>2971</v>
      </c>
      <c r="Z814">
        <v>3023.3500000000004</v>
      </c>
      <c r="AA814">
        <v>3040.8</v>
      </c>
      <c r="AB814">
        <v>3104.2</v>
      </c>
      <c r="AC814">
        <v>3177.7</v>
      </c>
      <c r="AD814">
        <v>3246.8</v>
      </c>
      <c r="AE814">
        <v>3312.9</v>
      </c>
      <c r="AF814">
        <v>3377</v>
      </c>
      <c r="AG814">
        <v>3439.9</v>
      </c>
      <c r="AH814">
        <v>3501.9</v>
      </c>
      <c r="AI814">
        <v>3563.3</v>
      </c>
      <c r="AJ814">
        <v>3624.4</v>
      </c>
      <c r="AK814">
        <v>3685.3</v>
      </c>
      <c r="AL814">
        <v>3746.2</v>
      </c>
    </row>
    <row r="815" spans="1:38" x14ac:dyDescent="0.3">
      <c r="A815">
        <v>9800</v>
      </c>
      <c r="B815">
        <v>309.48</v>
      </c>
      <c r="C815" t="s">
        <v>20</v>
      </c>
      <c r="D815">
        <v>3.3460999999999999</v>
      </c>
      <c r="E815">
        <v>5.6321000000000003</v>
      </c>
      <c r="F815" t="s">
        <v>21</v>
      </c>
      <c r="G815" t="s">
        <v>21</v>
      </c>
      <c r="H815" t="s">
        <v>21</v>
      </c>
      <c r="I815" t="s">
        <v>21</v>
      </c>
      <c r="J815" t="s">
        <v>21</v>
      </c>
      <c r="K815" t="s">
        <v>21</v>
      </c>
      <c r="L815" t="s">
        <v>21</v>
      </c>
      <c r="M815" t="s">
        <v>21</v>
      </c>
      <c r="N815" t="s">
        <v>21</v>
      </c>
      <c r="O815" t="s">
        <v>21</v>
      </c>
      <c r="P815" t="s">
        <v>21</v>
      </c>
      <c r="Q815" t="s">
        <v>21</v>
      </c>
      <c r="R815" t="s">
        <v>21</v>
      </c>
      <c r="S815" t="s">
        <v>21</v>
      </c>
      <c r="T815" t="s">
        <v>21</v>
      </c>
      <c r="U815">
        <v>5.7393000000000001</v>
      </c>
      <c r="V815">
        <v>5.7795000000000005</v>
      </c>
      <c r="W815">
        <v>5.9001000000000001</v>
      </c>
      <c r="X815">
        <v>5.9641500000000001</v>
      </c>
      <c r="Y815">
        <v>6.0282</v>
      </c>
      <c r="Z815">
        <v>6.1096500000000002</v>
      </c>
      <c r="AA815">
        <v>6.1368</v>
      </c>
      <c r="AB815">
        <v>6.2324999999999999</v>
      </c>
      <c r="AC815">
        <v>6.3396999999999997</v>
      </c>
      <c r="AD815">
        <v>6.4368999999999996</v>
      </c>
      <c r="AE815">
        <v>6.5267999999999997</v>
      </c>
      <c r="AF815">
        <v>6.6112000000000002</v>
      </c>
      <c r="AG815">
        <v>6.6912000000000003</v>
      </c>
      <c r="AH815">
        <v>6.7675999999999998</v>
      </c>
      <c r="AI815">
        <v>6.8411</v>
      </c>
      <c r="AJ815">
        <v>6.9120999999999997</v>
      </c>
      <c r="AK815">
        <v>6.9809999999999999</v>
      </c>
      <c r="AL815">
        <v>7.0477999999999996</v>
      </c>
    </row>
    <row r="816" spans="1:38" x14ac:dyDescent="0.3">
      <c r="A816">
        <v>10000</v>
      </c>
      <c r="B816">
        <v>310.95999999999998</v>
      </c>
      <c r="C816" t="s">
        <v>0</v>
      </c>
      <c r="D816">
        <v>1.4530000000000001</v>
      </c>
      <c r="E816">
        <v>18.041</v>
      </c>
      <c r="F816" t="s">
        <v>21</v>
      </c>
      <c r="G816" t="s">
        <v>21</v>
      </c>
      <c r="H816" t="s">
        <v>21</v>
      </c>
      <c r="I816" t="s">
        <v>21</v>
      </c>
      <c r="J816" t="s">
        <v>21</v>
      </c>
      <c r="K816" t="s">
        <v>21</v>
      </c>
      <c r="L816" t="s">
        <v>21</v>
      </c>
      <c r="M816" t="s">
        <v>21</v>
      </c>
      <c r="N816" t="s">
        <v>21</v>
      </c>
      <c r="O816" t="s">
        <v>21</v>
      </c>
      <c r="P816" t="s">
        <v>21</v>
      </c>
      <c r="Q816" t="s">
        <v>21</v>
      </c>
      <c r="R816" t="s">
        <v>21</v>
      </c>
      <c r="S816" t="s">
        <v>21</v>
      </c>
      <c r="T816" t="s">
        <v>21</v>
      </c>
      <c r="U816">
        <v>19.256</v>
      </c>
      <c r="V816">
        <v>19.809000000000001</v>
      </c>
      <c r="W816">
        <v>21.468</v>
      </c>
      <c r="X816">
        <v>22.386499999999998</v>
      </c>
      <c r="Y816">
        <v>23.305</v>
      </c>
      <c r="Z816">
        <v>24.52075</v>
      </c>
      <c r="AA816">
        <v>24.925999999999998</v>
      </c>
      <c r="AB816">
        <v>26.408000000000001</v>
      </c>
      <c r="AC816">
        <v>28.128</v>
      </c>
      <c r="AD816">
        <v>29.742000000000001</v>
      </c>
      <c r="AE816">
        <v>31.28</v>
      </c>
      <c r="AF816">
        <v>32.76</v>
      </c>
      <c r="AG816">
        <v>34.195999999999998</v>
      </c>
      <c r="AH816">
        <v>35.597000000000001</v>
      </c>
      <c r="AI816">
        <v>36.97</v>
      </c>
      <c r="AJ816">
        <v>38.32</v>
      </c>
      <c r="AK816">
        <v>39.65</v>
      </c>
      <c r="AL816">
        <v>40.963000000000001</v>
      </c>
    </row>
    <row r="817" spans="1:38" x14ac:dyDescent="0.3">
      <c r="A817">
        <v>10000</v>
      </c>
      <c r="B817">
        <v>310.95999999999998</v>
      </c>
      <c r="C817" t="s">
        <v>18</v>
      </c>
      <c r="D817">
        <v>1393.5</v>
      </c>
      <c r="E817">
        <v>2547.3000000000002</v>
      </c>
      <c r="F817" t="s">
        <v>21</v>
      </c>
      <c r="G817" t="s">
        <v>21</v>
      </c>
      <c r="H817" t="s">
        <v>21</v>
      </c>
      <c r="I817" t="s">
        <v>21</v>
      </c>
      <c r="J817" t="s">
        <v>21</v>
      </c>
      <c r="K817" t="s">
        <v>21</v>
      </c>
      <c r="L817" t="s">
        <v>21</v>
      </c>
      <c r="M817" t="s">
        <v>21</v>
      </c>
      <c r="N817" t="s">
        <v>21</v>
      </c>
      <c r="O817" t="s">
        <v>21</v>
      </c>
      <c r="P817" t="s">
        <v>21</v>
      </c>
      <c r="Q817" t="s">
        <v>21</v>
      </c>
      <c r="R817" t="s">
        <v>21</v>
      </c>
      <c r="S817" t="s">
        <v>21</v>
      </c>
      <c r="T817" t="s">
        <v>21</v>
      </c>
      <c r="U817">
        <v>2590.9</v>
      </c>
      <c r="V817">
        <v>2610.35</v>
      </c>
      <c r="W817">
        <v>2668.7</v>
      </c>
      <c r="X817">
        <v>2700.25</v>
      </c>
      <c r="Y817">
        <v>2731.8</v>
      </c>
      <c r="Z817">
        <v>2772.75</v>
      </c>
      <c r="AA817">
        <v>2786.4</v>
      </c>
      <c r="AB817">
        <v>2835.8</v>
      </c>
      <c r="AC817">
        <v>2892.8</v>
      </c>
      <c r="AD817">
        <v>2946.2</v>
      </c>
      <c r="AE817">
        <v>2997.4</v>
      </c>
      <c r="AF817">
        <v>3047</v>
      </c>
      <c r="AG817">
        <v>3095.7</v>
      </c>
      <c r="AH817">
        <v>3143.9</v>
      </c>
      <c r="AI817">
        <v>3191.7</v>
      </c>
      <c r="AJ817">
        <v>3239.5</v>
      </c>
      <c r="AK817">
        <v>3287.3</v>
      </c>
      <c r="AL817">
        <v>3335.1</v>
      </c>
    </row>
    <row r="818" spans="1:38" x14ac:dyDescent="0.3">
      <c r="A818">
        <v>10000</v>
      </c>
      <c r="B818">
        <v>310.95999999999998</v>
      </c>
      <c r="C818" t="s">
        <v>19</v>
      </c>
      <c r="D818">
        <v>1408</v>
      </c>
      <c r="E818">
        <v>2727.7</v>
      </c>
      <c r="F818" t="s">
        <v>21</v>
      </c>
      <c r="G818" t="s">
        <v>21</v>
      </c>
      <c r="H818" t="s">
        <v>21</v>
      </c>
      <c r="I818" t="s">
        <v>21</v>
      </c>
      <c r="J818" t="s">
        <v>21</v>
      </c>
      <c r="K818" t="s">
        <v>21</v>
      </c>
      <c r="L818" t="s">
        <v>21</v>
      </c>
      <c r="M818" t="s">
        <v>21</v>
      </c>
      <c r="N818" t="s">
        <v>21</v>
      </c>
      <c r="O818" t="s">
        <v>21</v>
      </c>
      <c r="P818" t="s">
        <v>21</v>
      </c>
      <c r="Q818" t="s">
        <v>21</v>
      </c>
      <c r="R818" t="s">
        <v>21</v>
      </c>
      <c r="S818" t="s">
        <v>21</v>
      </c>
      <c r="T818" t="s">
        <v>21</v>
      </c>
      <c r="U818">
        <v>2783.5</v>
      </c>
      <c r="V818">
        <v>2808.4749999999999</v>
      </c>
      <c r="W818">
        <v>2883.4</v>
      </c>
      <c r="X818">
        <v>2924.1000000000004</v>
      </c>
      <c r="Y818">
        <v>2964.8</v>
      </c>
      <c r="Z818">
        <v>3017.9749999999999</v>
      </c>
      <c r="AA818">
        <v>3035.7</v>
      </c>
      <c r="AB818">
        <v>3099.9</v>
      </c>
      <c r="AC818">
        <v>3174.1</v>
      </c>
      <c r="AD818">
        <v>3243.6</v>
      </c>
      <c r="AE818">
        <v>3310.1</v>
      </c>
      <c r="AF818">
        <v>3374.6</v>
      </c>
      <c r="AG818">
        <v>3437.7</v>
      </c>
      <c r="AH818">
        <v>3499.8</v>
      </c>
      <c r="AI818">
        <v>3561.4</v>
      </c>
      <c r="AJ818">
        <v>3622.7</v>
      </c>
      <c r="AK818">
        <v>3683.8</v>
      </c>
      <c r="AL818">
        <v>3744.7</v>
      </c>
    </row>
    <row r="819" spans="1:38" x14ac:dyDescent="0.3">
      <c r="A819">
        <v>10000</v>
      </c>
      <c r="B819">
        <v>310.95999999999998</v>
      </c>
      <c r="C819" t="s">
        <v>20</v>
      </c>
      <c r="D819">
        <v>3.3605</v>
      </c>
      <c r="E819">
        <v>5.6197999999999997</v>
      </c>
      <c r="F819" t="s">
        <v>21</v>
      </c>
      <c r="G819" t="s">
        <v>21</v>
      </c>
      <c r="H819" t="s">
        <v>21</v>
      </c>
      <c r="I819" t="s">
        <v>21</v>
      </c>
      <c r="J819" t="s">
        <v>21</v>
      </c>
      <c r="K819" t="s">
        <v>21</v>
      </c>
      <c r="L819" t="s">
        <v>21</v>
      </c>
      <c r="M819" t="s">
        <v>21</v>
      </c>
      <c r="N819" t="s">
        <v>21</v>
      </c>
      <c r="O819" t="s">
        <v>21</v>
      </c>
      <c r="P819" t="s">
        <v>21</v>
      </c>
      <c r="Q819" t="s">
        <v>21</v>
      </c>
      <c r="R819" t="s">
        <v>21</v>
      </c>
      <c r="S819" t="s">
        <v>21</v>
      </c>
      <c r="T819" t="s">
        <v>21</v>
      </c>
      <c r="U819">
        <v>5.7145000000000001</v>
      </c>
      <c r="V819">
        <v>5.7559500000000003</v>
      </c>
      <c r="W819">
        <v>5.8803000000000001</v>
      </c>
      <c r="X819">
        <v>5.9456500000000005</v>
      </c>
      <c r="Y819">
        <v>6.0110000000000001</v>
      </c>
      <c r="Z819">
        <v>6.0937250000000001</v>
      </c>
      <c r="AA819">
        <v>6.1212999999999997</v>
      </c>
      <c r="AB819">
        <v>6.2182000000000004</v>
      </c>
      <c r="AC819">
        <v>6.3263999999999996</v>
      </c>
      <c r="AD819">
        <v>6.4242999999999997</v>
      </c>
      <c r="AE819">
        <v>6.5147000000000004</v>
      </c>
      <c r="AF819">
        <v>6.5994000000000002</v>
      </c>
      <c r="AG819">
        <v>6.6797000000000004</v>
      </c>
      <c r="AH819">
        <v>6.7564000000000002</v>
      </c>
      <c r="AI819">
        <v>6.8301999999999996</v>
      </c>
      <c r="AJ819">
        <v>6.9013</v>
      </c>
      <c r="AK819">
        <v>6.9702999999999999</v>
      </c>
      <c r="AL819">
        <v>7.0373000000000001</v>
      </c>
    </row>
    <row r="820" spans="1:38" x14ac:dyDescent="0.3">
      <c r="A820">
        <v>10200</v>
      </c>
      <c r="B820">
        <v>312.42</v>
      </c>
      <c r="C820" t="s">
        <v>0</v>
      </c>
      <c r="D820">
        <v>1.46</v>
      </c>
      <c r="E820">
        <v>17.605</v>
      </c>
      <c r="F820" t="s">
        <v>21</v>
      </c>
      <c r="G820" t="s">
        <v>21</v>
      </c>
      <c r="H820" t="s">
        <v>21</v>
      </c>
      <c r="I820" t="s">
        <v>21</v>
      </c>
      <c r="J820" t="s">
        <v>21</v>
      </c>
      <c r="K820" t="s">
        <v>21</v>
      </c>
      <c r="L820" t="s">
        <v>21</v>
      </c>
      <c r="M820" t="s">
        <v>21</v>
      </c>
      <c r="N820" t="s">
        <v>21</v>
      </c>
      <c r="O820" t="s">
        <v>21</v>
      </c>
      <c r="P820" t="s">
        <v>21</v>
      </c>
      <c r="Q820" t="s">
        <v>21</v>
      </c>
      <c r="R820" t="s">
        <v>21</v>
      </c>
      <c r="S820" t="s">
        <v>21</v>
      </c>
      <c r="T820" t="s">
        <v>21</v>
      </c>
      <c r="U820">
        <v>18.632000000000001</v>
      </c>
      <c r="V820">
        <v>19.190249999999999</v>
      </c>
      <c r="W820">
        <v>20.864999999999998</v>
      </c>
      <c r="X820">
        <v>21.7835</v>
      </c>
      <c r="Y820">
        <v>22.702000000000002</v>
      </c>
      <c r="Z820">
        <v>23.911750000000001</v>
      </c>
      <c r="AA820">
        <v>24.315000000000001</v>
      </c>
      <c r="AB820">
        <v>25.785</v>
      </c>
      <c r="AC820">
        <v>27.486999999999998</v>
      </c>
      <c r="AD820">
        <v>29.081</v>
      </c>
      <c r="AE820">
        <v>30.599</v>
      </c>
      <c r="AF820">
        <v>32.058</v>
      </c>
      <c r="AG820">
        <v>33.472000000000001</v>
      </c>
      <c r="AH820">
        <v>34.850999999999999</v>
      </c>
      <c r="AI820">
        <v>36.201999999999998</v>
      </c>
      <c r="AJ820">
        <v>37.53</v>
      </c>
      <c r="AK820">
        <v>38.837000000000003</v>
      </c>
      <c r="AL820">
        <v>40.128</v>
      </c>
    </row>
    <row r="821" spans="1:38" x14ac:dyDescent="0.3">
      <c r="A821">
        <v>10200</v>
      </c>
      <c r="B821">
        <v>312.42</v>
      </c>
      <c r="C821" t="s">
        <v>18</v>
      </c>
      <c r="D821">
        <v>1401.8</v>
      </c>
      <c r="E821">
        <v>2544.6</v>
      </c>
      <c r="F821" t="s">
        <v>21</v>
      </c>
      <c r="G821" t="s">
        <v>21</v>
      </c>
      <c r="H821" t="s">
        <v>21</v>
      </c>
      <c r="I821" t="s">
        <v>21</v>
      </c>
      <c r="J821" t="s">
        <v>21</v>
      </c>
      <c r="K821" t="s">
        <v>21</v>
      </c>
      <c r="L821" t="s">
        <v>21</v>
      </c>
      <c r="M821" t="s">
        <v>21</v>
      </c>
      <c r="N821" t="s">
        <v>21</v>
      </c>
      <c r="O821" t="s">
        <v>21</v>
      </c>
      <c r="P821" t="s">
        <v>21</v>
      </c>
      <c r="Q821" t="s">
        <v>21</v>
      </c>
      <c r="R821" t="s">
        <v>21</v>
      </c>
      <c r="S821" t="s">
        <v>21</v>
      </c>
      <c r="T821" t="s">
        <v>21</v>
      </c>
      <c r="U821">
        <v>2582.3000000000002</v>
      </c>
      <c r="V821">
        <v>2602.375</v>
      </c>
      <c r="W821">
        <v>2662.6</v>
      </c>
      <c r="X821">
        <v>2694.8</v>
      </c>
      <c r="Y821">
        <v>2727</v>
      </c>
      <c r="Z821">
        <v>2768.7</v>
      </c>
      <c r="AA821">
        <v>2782.6</v>
      </c>
      <c r="AB821">
        <v>2832.6</v>
      </c>
      <c r="AC821">
        <v>2890</v>
      </c>
      <c r="AD821">
        <v>2943.9</v>
      </c>
      <c r="AE821">
        <v>2995.3</v>
      </c>
      <c r="AF821">
        <v>3045.2</v>
      </c>
      <c r="AG821">
        <v>3094</v>
      </c>
      <c r="AH821">
        <v>3142.3</v>
      </c>
      <c r="AI821">
        <v>3190.3</v>
      </c>
      <c r="AJ821">
        <v>3238.2</v>
      </c>
      <c r="AK821">
        <v>3286.1</v>
      </c>
      <c r="AL821">
        <v>3334</v>
      </c>
    </row>
    <row r="822" spans="1:38" x14ac:dyDescent="0.3">
      <c r="A822">
        <v>10200</v>
      </c>
      <c r="B822">
        <v>312.42</v>
      </c>
      <c r="C822" t="s">
        <v>19</v>
      </c>
      <c r="D822">
        <v>1416.7</v>
      </c>
      <c r="E822">
        <v>2724.2</v>
      </c>
      <c r="F822" t="s">
        <v>21</v>
      </c>
      <c r="G822" t="s">
        <v>21</v>
      </c>
      <c r="H822" t="s">
        <v>21</v>
      </c>
      <c r="I822" t="s">
        <v>21</v>
      </c>
      <c r="J822" t="s">
        <v>21</v>
      </c>
      <c r="K822" t="s">
        <v>21</v>
      </c>
      <c r="L822" t="s">
        <v>21</v>
      </c>
      <c r="M822" t="s">
        <v>21</v>
      </c>
      <c r="N822" t="s">
        <v>21</v>
      </c>
      <c r="O822" t="s">
        <v>21</v>
      </c>
      <c r="P822" t="s">
        <v>21</v>
      </c>
      <c r="Q822" t="s">
        <v>21</v>
      </c>
      <c r="R822" t="s">
        <v>21</v>
      </c>
      <c r="S822" t="s">
        <v>21</v>
      </c>
      <c r="T822" t="s">
        <v>21</v>
      </c>
      <c r="U822">
        <v>2772.3</v>
      </c>
      <c r="V822">
        <v>2798.0750000000003</v>
      </c>
      <c r="W822">
        <v>2875.4</v>
      </c>
      <c r="X822">
        <v>2917</v>
      </c>
      <c r="Y822">
        <v>2958.6</v>
      </c>
      <c r="Z822">
        <v>3012.6</v>
      </c>
      <c r="AA822">
        <v>3030.6</v>
      </c>
      <c r="AB822">
        <v>3095.6</v>
      </c>
      <c r="AC822">
        <v>3170.4</v>
      </c>
      <c r="AD822">
        <v>3240.5</v>
      </c>
      <c r="AE822">
        <v>3307.4</v>
      </c>
      <c r="AF822">
        <v>3372.1</v>
      </c>
      <c r="AG822">
        <v>3435.5</v>
      </c>
      <c r="AH822">
        <v>3497.8</v>
      </c>
      <c r="AI822">
        <v>3559.6</v>
      </c>
      <c r="AJ822">
        <v>3621</v>
      </c>
      <c r="AK822">
        <v>3682.2</v>
      </c>
      <c r="AL822">
        <v>3743.3</v>
      </c>
    </row>
    <row r="823" spans="1:38" x14ac:dyDescent="0.3">
      <c r="A823">
        <v>10200</v>
      </c>
      <c r="B823">
        <v>312.42</v>
      </c>
      <c r="C823" t="s">
        <v>20</v>
      </c>
      <c r="D823">
        <v>3.3748</v>
      </c>
      <c r="E823">
        <v>5.6075999999999997</v>
      </c>
      <c r="F823" t="s">
        <v>21</v>
      </c>
      <c r="G823" t="s">
        <v>21</v>
      </c>
      <c r="H823" t="s">
        <v>21</v>
      </c>
      <c r="I823" t="s">
        <v>21</v>
      </c>
      <c r="J823" t="s">
        <v>21</v>
      </c>
      <c r="K823" t="s">
        <v>21</v>
      </c>
      <c r="L823" t="s">
        <v>21</v>
      </c>
      <c r="M823" t="s">
        <v>21</v>
      </c>
      <c r="N823" t="s">
        <v>21</v>
      </c>
      <c r="O823" t="s">
        <v>21</v>
      </c>
      <c r="P823" t="s">
        <v>21</v>
      </c>
      <c r="Q823" t="s">
        <v>21</v>
      </c>
      <c r="R823" t="s">
        <v>21</v>
      </c>
      <c r="S823" t="s">
        <v>21</v>
      </c>
      <c r="T823" t="s">
        <v>21</v>
      </c>
      <c r="U823">
        <v>5.6894</v>
      </c>
      <c r="V823">
        <v>5.7321499999999999</v>
      </c>
      <c r="W823">
        <v>5.8604000000000003</v>
      </c>
      <c r="X823">
        <v>5.9272</v>
      </c>
      <c r="Y823">
        <v>5.9939999999999998</v>
      </c>
      <c r="Z823">
        <v>6.0779250000000005</v>
      </c>
      <c r="AA823">
        <v>6.1059000000000001</v>
      </c>
      <c r="AB823">
        <v>6.2039999999999997</v>
      </c>
      <c r="AC823">
        <v>6.3131000000000004</v>
      </c>
      <c r="AD823">
        <v>6.4118000000000004</v>
      </c>
      <c r="AE823">
        <v>6.5026999999999999</v>
      </c>
      <c r="AF823">
        <v>6.5879000000000003</v>
      </c>
      <c r="AG823">
        <v>6.6684999999999999</v>
      </c>
      <c r="AH823">
        <v>6.7454000000000001</v>
      </c>
      <c r="AI823">
        <v>6.8193999999999999</v>
      </c>
      <c r="AJ823">
        <v>6.8906999999999998</v>
      </c>
      <c r="AK823">
        <v>6.9598000000000004</v>
      </c>
      <c r="AL823">
        <v>7.0269000000000004</v>
      </c>
    </row>
    <row r="824" spans="1:38" x14ac:dyDescent="0.3">
      <c r="A824">
        <v>10400</v>
      </c>
      <c r="B824">
        <v>313.86</v>
      </c>
      <c r="C824" t="s">
        <v>0</v>
      </c>
      <c r="D824">
        <v>1.4670000000000001</v>
      </c>
      <c r="E824">
        <v>17.184000000000001</v>
      </c>
      <c r="F824" t="s">
        <v>21</v>
      </c>
      <c r="G824" t="s">
        <v>21</v>
      </c>
      <c r="H824" t="s">
        <v>21</v>
      </c>
      <c r="I824" t="s">
        <v>21</v>
      </c>
      <c r="J824" t="s">
        <v>21</v>
      </c>
      <c r="K824" t="s">
        <v>21</v>
      </c>
      <c r="L824" t="s">
        <v>21</v>
      </c>
      <c r="M824" t="s">
        <v>21</v>
      </c>
      <c r="N824" t="s">
        <v>21</v>
      </c>
      <c r="O824" t="s">
        <v>21</v>
      </c>
      <c r="P824" t="s">
        <v>21</v>
      </c>
      <c r="Q824" t="s">
        <v>21</v>
      </c>
      <c r="R824" t="s">
        <v>21</v>
      </c>
      <c r="S824" t="s">
        <v>21</v>
      </c>
      <c r="T824" t="s">
        <v>21</v>
      </c>
      <c r="U824">
        <v>18.024000000000001</v>
      </c>
      <c r="V824">
        <v>18.5885</v>
      </c>
      <c r="W824">
        <v>20.282</v>
      </c>
      <c r="X824">
        <v>21.201499999999999</v>
      </c>
      <c r="Y824">
        <v>22.120999999999999</v>
      </c>
      <c r="Z824">
        <v>23.324749999999998</v>
      </c>
      <c r="AA824">
        <v>23.725999999999999</v>
      </c>
      <c r="AB824">
        <v>25.184999999999999</v>
      </c>
      <c r="AC824">
        <v>26.87</v>
      </c>
      <c r="AD824">
        <v>28.446000000000002</v>
      </c>
      <c r="AE824">
        <v>29.943000000000001</v>
      </c>
      <c r="AF824">
        <v>31.382000000000001</v>
      </c>
      <c r="AG824">
        <v>32.776000000000003</v>
      </c>
      <c r="AH824">
        <v>34.134</v>
      </c>
      <c r="AI824">
        <v>35.463999999999999</v>
      </c>
      <c r="AJ824">
        <v>36.770000000000003</v>
      </c>
      <c r="AK824">
        <v>38.055999999999997</v>
      </c>
      <c r="AL824">
        <v>39.325000000000003</v>
      </c>
    </row>
    <row r="825" spans="1:38" x14ac:dyDescent="0.3">
      <c r="A825">
        <v>10400</v>
      </c>
      <c r="B825">
        <v>313.86</v>
      </c>
      <c r="C825" t="s">
        <v>18</v>
      </c>
      <c r="D825">
        <v>1410</v>
      </c>
      <c r="E825">
        <v>2541.8000000000002</v>
      </c>
      <c r="F825" t="s">
        <v>21</v>
      </c>
      <c r="G825" t="s">
        <v>21</v>
      </c>
      <c r="H825" t="s">
        <v>21</v>
      </c>
      <c r="I825" t="s">
        <v>21</v>
      </c>
      <c r="J825" t="s">
        <v>21</v>
      </c>
      <c r="K825" t="s">
        <v>21</v>
      </c>
      <c r="L825" t="s">
        <v>21</v>
      </c>
      <c r="M825" t="s">
        <v>21</v>
      </c>
      <c r="N825" t="s">
        <v>21</v>
      </c>
      <c r="O825" t="s">
        <v>21</v>
      </c>
      <c r="P825" t="s">
        <v>21</v>
      </c>
      <c r="Q825" t="s">
        <v>21</v>
      </c>
      <c r="R825" t="s">
        <v>21</v>
      </c>
      <c r="S825" t="s">
        <v>21</v>
      </c>
      <c r="T825" t="s">
        <v>21</v>
      </c>
      <c r="U825">
        <v>2573.4</v>
      </c>
      <c r="V825">
        <v>2594.125</v>
      </c>
      <c r="W825">
        <v>2656.3</v>
      </c>
      <c r="X825">
        <v>2689.25</v>
      </c>
      <c r="Y825">
        <v>2722.2</v>
      </c>
      <c r="Z825">
        <v>2764.5749999999998</v>
      </c>
      <c r="AA825">
        <v>2778.7</v>
      </c>
      <c r="AB825">
        <v>2829.3</v>
      </c>
      <c r="AC825">
        <v>2887.3</v>
      </c>
      <c r="AD825">
        <v>2941.5</v>
      </c>
      <c r="AE825">
        <v>2993.2</v>
      </c>
      <c r="AF825">
        <v>3043.3</v>
      </c>
      <c r="AG825">
        <v>3092.4</v>
      </c>
      <c r="AH825">
        <v>3140.8</v>
      </c>
      <c r="AI825">
        <v>3188.9</v>
      </c>
      <c r="AJ825">
        <v>3236.9</v>
      </c>
      <c r="AK825">
        <v>3284.8</v>
      </c>
      <c r="AL825">
        <v>3332.9</v>
      </c>
    </row>
    <row r="826" spans="1:38" x14ac:dyDescent="0.3">
      <c r="A826">
        <v>10400</v>
      </c>
      <c r="B826">
        <v>313.86</v>
      </c>
      <c r="C826" t="s">
        <v>19</v>
      </c>
      <c r="D826">
        <v>1425.2</v>
      </c>
      <c r="E826">
        <v>2720.6</v>
      </c>
      <c r="F826" t="s">
        <v>21</v>
      </c>
      <c r="G826" t="s">
        <v>21</v>
      </c>
      <c r="H826" t="s">
        <v>21</v>
      </c>
      <c r="I826" t="s">
        <v>21</v>
      </c>
      <c r="J826" t="s">
        <v>21</v>
      </c>
      <c r="K826" t="s">
        <v>21</v>
      </c>
      <c r="L826" t="s">
        <v>21</v>
      </c>
      <c r="M826" t="s">
        <v>21</v>
      </c>
      <c r="N826" t="s">
        <v>21</v>
      </c>
      <c r="O826" t="s">
        <v>21</v>
      </c>
      <c r="P826" t="s">
        <v>21</v>
      </c>
      <c r="Q826" t="s">
        <v>21</v>
      </c>
      <c r="R826" t="s">
        <v>21</v>
      </c>
      <c r="S826" t="s">
        <v>21</v>
      </c>
      <c r="T826" t="s">
        <v>21</v>
      </c>
      <c r="U826">
        <v>2760.8</v>
      </c>
      <c r="V826">
        <v>2787.4</v>
      </c>
      <c r="W826">
        <v>2867.2</v>
      </c>
      <c r="X826">
        <v>2909.75</v>
      </c>
      <c r="Y826">
        <v>2952.3</v>
      </c>
      <c r="Z826">
        <v>3007.125</v>
      </c>
      <c r="AA826">
        <v>3025.4</v>
      </c>
      <c r="AB826">
        <v>3091.2</v>
      </c>
      <c r="AC826">
        <v>3166.7</v>
      </c>
      <c r="AD826">
        <v>3237.3</v>
      </c>
      <c r="AE826">
        <v>3304.6</v>
      </c>
      <c r="AF826">
        <v>3369.7</v>
      </c>
      <c r="AG826">
        <v>3433.2</v>
      </c>
      <c r="AH826">
        <v>3495.8</v>
      </c>
      <c r="AI826">
        <v>3557.8</v>
      </c>
      <c r="AJ826">
        <v>3619.3</v>
      </c>
      <c r="AK826">
        <v>3680.6</v>
      </c>
      <c r="AL826">
        <v>3741.8</v>
      </c>
    </row>
    <row r="827" spans="1:38" x14ac:dyDescent="0.3">
      <c r="A827">
        <v>10400</v>
      </c>
      <c r="B827">
        <v>313.86</v>
      </c>
      <c r="C827" t="s">
        <v>20</v>
      </c>
      <c r="D827">
        <v>3.3889</v>
      </c>
      <c r="E827">
        <v>5.5955000000000004</v>
      </c>
      <c r="F827" t="s">
        <v>21</v>
      </c>
      <c r="G827" t="s">
        <v>21</v>
      </c>
      <c r="H827" t="s">
        <v>21</v>
      </c>
      <c r="I827" t="s">
        <v>21</v>
      </c>
      <c r="J827" t="s">
        <v>21</v>
      </c>
      <c r="K827" t="s">
        <v>21</v>
      </c>
      <c r="L827" t="s">
        <v>21</v>
      </c>
      <c r="M827" t="s">
        <v>21</v>
      </c>
      <c r="N827" t="s">
        <v>21</v>
      </c>
      <c r="O827" t="s">
        <v>21</v>
      </c>
      <c r="P827" t="s">
        <v>21</v>
      </c>
      <c r="Q827" t="s">
        <v>21</v>
      </c>
      <c r="R827" t="s">
        <v>21</v>
      </c>
      <c r="S827" t="s">
        <v>21</v>
      </c>
      <c r="T827" t="s">
        <v>21</v>
      </c>
      <c r="U827">
        <v>5.6638000000000002</v>
      </c>
      <c r="V827">
        <v>5.7079500000000003</v>
      </c>
      <c r="W827">
        <v>5.8403999999999998</v>
      </c>
      <c r="X827">
        <v>5.9086499999999997</v>
      </c>
      <c r="Y827">
        <v>5.9768999999999997</v>
      </c>
      <c r="Z827">
        <v>6.0622499999999997</v>
      </c>
      <c r="AA827">
        <v>6.0907</v>
      </c>
      <c r="AB827">
        <v>6.1898999999999997</v>
      </c>
      <c r="AC827">
        <v>6.3000999999999996</v>
      </c>
      <c r="AD827">
        <v>6.3994</v>
      </c>
      <c r="AE827">
        <v>6.4908999999999999</v>
      </c>
      <c r="AF827">
        <v>6.5765000000000002</v>
      </c>
      <c r="AG827">
        <v>6.6574</v>
      </c>
      <c r="AH827">
        <v>6.7346000000000004</v>
      </c>
      <c r="AI827">
        <v>6.8087</v>
      </c>
      <c r="AJ827">
        <v>6.8803000000000001</v>
      </c>
      <c r="AK827">
        <v>6.9494999999999996</v>
      </c>
      <c r="AL827">
        <v>7.0167000000000002</v>
      </c>
    </row>
    <row r="828" spans="1:38" x14ac:dyDescent="0.3">
      <c r="A828">
        <v>10600</v>
      </c>
      <c r="B828">
        <v>315.27</v>
      </c>
      <c r="C828" t="s">
        <v>0</v>
      </c>
      <c r="D828">
        <v>1.474</v>
      </c>
      <c r="E828">
        <v>16.777999999999999</v>
      </c>
      <c r="F828" t="s">
        <v>21</v>
      </c>
      <c r="G828" t="s">
        <v>21</v>
      </c>
      <c r="H828" t="s">
        <v>21</v>
      </c>
      <c r="I828" t="s">
        <v>21</v>
      </c>
      <c r="J828" t="s">
        <v>21</v>
      </c>
      <c r="K828" t="s">
        <v>21</v>
      </c>
      <c r="L828" t="s">
        <v>21</v>
      </c>
      <c r="M828" t="s">
        <v>21</v>
      </c>
      <c r="N828" t="s">
        <v>21</v>
      </c>
      <c r="O828" t="s">
        <v>21</v>
      </c>
      <c r="P828" t="s">
        <v>21</v>
      </c>
      <c r="Q828" t="s">
        <v>21</v>
      </c>
      <c r="R828" t="s">
        <v>21</v>
      </c>
      <c r="S828" t="s">
        <v>21</v>
      </c>
      <c r="T828" t="s">
        <v>21</v>
      </c>
      <c r="U828">
        <v>17.431999999999999</v>
      </c>
      <c r="V828">
        <v>18.003249999999998</v>
      </c>
      <c r="W828">
        <v>19.716999999999999</v>
      </c>
      <c r="X828">
        <v>20.638500000000001</v>
      </c>
      <c r="Y828">
        <v>21.56</v>
      </c>
      <c r="Z828">
        <v>22.759249999999998</v>
      </c>
      <c r="AA828">
        <v>23.158999999999999</v>
      </c>
      <c r="AB828">
        <v>24.606999999999999</v>
      </c>
      <c r="AC828">
        <v>26.276</v>
      </c>
      <c r="AD828">
        <v>27.834</v>
      </c>
      <c r="AE828">
        <v>29.312999999999999</v>
      </c>
      <c r="AF828">
        <v>30.731999999999999</v>
      </c>
      <c r="AG828">
        <v>32.106000000000002</v>
      </c>
      <c r="AH828">
        <v>33.444000000000003</v>
      </c>
      <c r="AI828">
        <v>34.753</v>
      </c>
      <c r="AJ828">
        <v>36.039000000000001</v>
      </c>
      <c r="AK828">
        <v>37.304000000000002</v>
      </c>
      <c r="AL828">
        <v>38.552</v>
      </c>
    </row>
    <row r="829" spans="1:38" x14ac:dyDescent="0.3">
      <c r="A829">
        <v>10600</v>
      </c>
      <c r="B829">
        <v>315.27</v>
      </c>
      <c r="C829" t="s">
        <v>18</v>
      </c>
      <c r="D829">
        <v>1418.1</v>
      </c>
      <c r="E829">
        <v>2539</v>
      </c>
      <c r="F829" t="s">
        <v>21</v>
      </c>
      <c r="G829" t="s">
        <v>21</v>
      </c>
      <c r="H829" t="s">
        <v>21</v>
      </c>
      <c r="I829" t="s">
        <v>21</v>
      </c>
      <c r="J829" t="s">
        <v>21</v>
      </c>
      <c r="K829" t="s">
        <v>21</v>
      </c>
      <c r="L829" t="s">
        <v>21</v>
      </c>
      <c r="M829" t="s">
        <v>21</v>
      </c>
      <c r="N829" t="s">
        <v>21</v>
      </c>
      <c r="O829" t="s">
        <v>21</v>
      </c>
      <c r="P829" t="s">
        <v>21</v>
      </c>
      <c r="Q829" t="s">
        <v>21</v>
      </c>
      <c r="R829" t="s">
        <v>21</v>
      </c>
      <c r="S829" t="s">
        <v>21</v>
      </c>
      <c r="T829" t="s">
        <v>21</v>
      </c>
      <c r="U829">
        <v>2564.1</v>
      </c>
      <c r="V829">
        <v>2585.5500000000002</v>
      </c>
      <c r="W829">
        <v>2649.9</v>
      </c>
      <c r="X829">
        <v>2683.65</v>
      </c>
      <c r="Y829">
        <v>2717.4</v>
      </c>
      <c r="Z829">
        <v>2760.375</v>
      </c>
      <c r="AA829">
        <v>2774.7</v>
      </c>
      <c r="AB829">
        <v>2825.9</v>
      </c>
      <c r="AC829">
        <v>2884.5</v>
      </c>
      <c r="AD829">
        <v>2939.1</v>
      </c>
      <c r="AE829">
        <v>2991.1</v>
      </c>
      <c r="AF829">
        <v>3041.4</v>
      </c>
      <c r="AG829">
        <v>3090.7</v>
      </c>
      <c r="AH829">
        <v>3139.3</v>
      </c>
      <c r="AI829">
        <v>3187.5</v>
      </c>
      <c r="AJ829">
        <v>3235.6</v>
      </c>
      <c r="AK829">
        <v>3283.6</v>
      </c>
      <c r="AL829">
        <v>3331.7</v>
      </c>
    </row>
    <row r="830" spans="1:38" x14ac:dyDescent="0.3">
      <c r="A830">
        <v>10600</v>
      </c>
      <c r="B830">
        <v>315.27</v>
      </c>
      <c r="C830" t="s">
        <v>19</v>
      </c>
      <c r="D830">
        <v>1433.7</v>
      </c>
      <c r="E830">
        <v>2716.9</v>
      </c>
      <c r="F830" t="s">
        <v>21</v>
      </c>
      <c r="G830" t="s">
        <v>21</v>
      </c>
      <c r="H830" t="s">
        <v>21</v>
      </c>
      <c r="I830" t="s">
        <v>21</v>
      </c>
      <c r="J830" t="s">
        <v>21</v>
      </c>
      <c r="K830" t="s">
        <v>21</v>
      </c>
      <c r="L830" t="s">
        <v>21</v>
      </c>
      <c r="M830" t="s">
        <v>21</v>
      </c>
      <c r="N830" t="s">
        <v>21</v>
      </c>
      <c r="O830" t="s">
        <v>21</v>
      </c>
      <c r="P830" t="s">
        <v>21</v>
      </c>
      <c r="Q830" t="s">
        <v>21</v>
      </c>
      <c r="R830" t="s">
        <v>21</v>
      </c>
      <c r="S830" t="s">
        <v>21</v>
      </c>
      <c r="T830" t="s">
        <v>21</v>
      </c>
      <c r="U830">
        <v>2748.9</v>
      </c>
      <c r="V830">
        <v>2776.4</v>
      </c>
      <c r="W830">
        <v>2858.9</v>
      </c>
      <c r="X830">
        <v>2902.4</v>
      </c>
      <c r="Y830">
        <v>2945.9</v>
      </c>
      <c r="Z830">
        <v>3001.625</v>
      </c>
      <c r="AA830">
        <v>3020.2</v>
      </c>
      <c r="AB830">
        <v>3086.8</v>
      </c>
      <c r="AC830">
        <v>3163</v>
      </c>
      <c r="AD830">
        <v>3234.1</v>
      </c>
      <c r="AE830">
        <v>3301.8</v>
      </c>
      <c r="AF830">
        <v>3367.2</v>
      </c>
      <c r="AG830">
        <v>3431</v>
      </c>
      <c r="AH830">
        <v>3493.8</v>
      </c>
      <c r="AI830">
        <v>3555.9</v>
      </c>
      <c r="AJ830">
        <v>3617.6</v>
      </c>
      <c r="AK830">
        <v>3679.1</v>
      </c>
      <c r="AL830">
        <v>3740.4</v>
      </c>
    </row>
    <row r="831" spans="1:38" x14ac:dyDescent="0.3">
      <c r="A831">
        <v>10600</v>
      </c>
      <c r="B831">
        <v>315.27</v>
      </c>
      <c r="C831" t="s">
        <v>20</v>
      </c>
      <c r="D831">
        <v>3.4028999999999998</v>
      </c>
      <c r="E831">
        <v>5.5834999999999999</v>
      </c>
      <c r="F831" t="s">
        <v>21</v>
      </c>
      <c r="G831" t="s">
        <v>21</v>
      </c>
      <c r="H831" t="s">
        <v>21</v>
      </c>
      <c r="I831" t="s">
        <v>21</v>
      </c>
      <c r="J831" t="s">
        <v>21</v>
      </c>
      <c r="K831" t="s">
        <v>21</v>
      </c>
      <c r="L831" t="s">
        <v>21</v>
      </c>
      <c r="M831" t="s">
        <v>21</v>
      </c>
      <c r="N831" t="s">
        <v>21</v>
      </c>
      <c r="O831" t="s">
        <v>21</v>
      </c>
      <c r="P831" t="s">
        <v>21</v>
      </c>
      <c r="Q831" t="s">
        <v>21</v>
      </c>
      <c r="R831" t="s">
        <v>21</v>
      </c>
      <c r="S831" t="s">
        <v>21</v>
      </c>
      <c r="T831" t="s">
        <v>21</v>
      </c>
      <c r="U831">
        <v>5.6375999999999999</v>
      </c>
      <c r="V831">
        <v>5.6832750000000001</v>
      </c>
      <c r="W831">
        <v>5.8202999999999996</v>
      </c>
      <c r="X831">
        <v>5.8901000000000003</v>
      </c>
      <c r="Y831">
        <v>5.9599000000000002</v>
      </c>
      <c r="Z831">
        <v>6.0465999999999998</v>
      </c>
      <c r="AA831">
        <v>6.0754999999999999</v>
      </c>
      <c r="AB831">
        <v>6.1759000000000004</v>
      </c>
      <c r="AC831">
        <v>6.2872000000000003</v>
      </c>
      <c r="AD831">
        <v>6.3872</v>
      </c>
      <c r="AE831">
        <v>6.4793000000000003</v>
      </c>
      <c r="AF831">
        <v>6.5651999999999999</v>
      </c>
      <c r="AG831">
        <v>6.6464999999999996</v>
      </c>
      <c r="AH831">
        <v>6.7239000000000004</v>
      </c>
      <c r="AI831">
        <v>6.7983000000000002</v>
      </c>
      <c r="AJ831">
        <v>6.87</v>
      </c>
      <c r="AK831">
        <v>6.9394</v>
      </c>
      <c r="AL831">
        <v>7.0067000000000004</v>
      </c>
    </row>
    <row r="832" spans="1:38" x14ac:dyDescent="0.3">
      <c r="A832">
        <v>10800</v>
      </c>
      <c r="B832">
        <v>316.67</v>
      </c>
      <c r="C832" t="s">
        <v>0</v>
      </c>
      <c r="D832">
        <v>1.4810000000000001</v>
      </c>
      <c r="E832">
        <v>16.385000000000002</v>
      </c>
      <c r="F832" t="s">
        <v>21</v>
      </c>
      <c r="G832" t="s">
        <v>21</v>
      </c>
      <c r="H832" t="s">
        <v>21</v>
      </c>
      <c r="I832" t="s">
        <v>21</v>
      </c>
      <c r="J832" t="s">
        <v>21</v>
      </c>
      <c r="K832" t="s">
        <v>21</v>
      </c>
      <c r="L832" t="s">
        <v>21</v>
      </c>
      <c r="M832" t="s">
        <v>21</v>
      </c>
      <c r="N832" t="s">
        <v>21</v>
      </c>
      <c r="O832" t="s">
        <v>21</v>
      </c>
      <c r="P832" t="s">
        <v>21</v>
      </c>
      <c r="Q832" t="s">
        <v>21</v>
      </c>
      <c r="R832" t="s">
        <v>21</v>
      </c>
      <c r="S832" t="s">
        <v>21</v>
      </c>
      <c r="T832" t="s">
        <v>21</v>
      </c>
      <c r="U832">
        <v>16.852</v>
      </c>
      <c r="V832">
        <v>17.4315</v>
      </c>
      <c r="W832">
        <v>19.170000000000002</v>
      </c>
      <c r="X832">
        <v>20.094000000000001</v>
      </c>
      <c r="Y832">
        <v>21.018000000000001</v>
      </c>
      <c r="Z832">
        <v>22.2135</v>
      </c>
      <c r="AA832">
        <v>22.611999999999998</v>
      </c>
      <c r="AB832">
        <v>24.05</v>
      </c>
      <c r="AC832">
        <v>25.702999999999999</v>
      </c>
      <c r="AD832">
        <v>27.245000000000001</v>
      </c>
      <c r="AE832">
        <v>28.706</v>
      </c>
      <c r="AF832">
        <v>30.106000000000002</v>
      </c>
      <c r="AG832">
        <v>31.460999999999999</v>
      </c>
      <c r="AH832">
        <v>32.779000000000003</v>
      </c>
      <c r="AI832">
        <v>34.069000000000003</v>
      </c>
      <c r="AJ832">
        <v>35.335000000000001</v>
      </c>
      <c r="AK832">
        <v>36.58</v>
      </c>
      <c r="AL832">
        <v>37.808</v>
      </c>
    </row>
    <row r="833" spans="1:38" x14ac:dyDescent="0.3">
      <c r="A833">
        <v>10800</v>
      </c>
      <c r="B833">
        <v>316.67</v>
      </c>
      <c r="C833" t="s">
        <v>18</v>
      </c>
      <c r="D833">
        <v>1426.2</v>
      </c>
      <c r="E833">
        <v>2536.1999999999998</v>
      </c>
      <c r="F833" t="s">
        <v>21</v>
      </c>
      <c r="G833" t="s">
        <v>21</v>
      </c>
      <c r="H833" t="s">
        <v>21</v>
      </c>
      <c r="I833" t="s">
        <v>21</v>
      </c>
      <c r="J833" t="s">
        <v>21</v>
      </c>
      <c r="K833" t="s">
        <v>21</v>
      </c>
      <c r="L833" t="s">
        <v>21</v>
      </c>
      <c r="M833" t="s">
        <v>21</v>
      </c>
      <c r="N833" t="s">
        <v>21</v>
      </c>
      <c r="O833" t="s">
        <v>21</v>
      </c>
      <c r="P833" t="s">
        <v>21</v>
      </c>
      <c r="Q833" t="s">
        <v>21</v>
      </c>
      <c r="R833" t="s">
        <v>21</v>
      </c>
      <c r="S833" t="s">
        <v>21</v>
      </c>
      <c r="T833" t="s">
        <v>21</v>
      </c>
      <c r="U833">
        <v>2554.5</v>
      </c>
      <c r="V833">
        <v>2576.7249999999999</v>
      </c>
      <c r="W833">
        <v>2643.4</v>
      </c>
      <c r="X833">
        <v>2677.9</v>
      </c>
      <c r="Y833">
        <v>2712.4</v>
      </c>
      <c r="Z833">
        <v>2756.125</v>
      </c>
      <c r="AA833">
        <v>2770.7</v>
      </c>
      <c r="AB833">
        <v>2822.6</v>
      </c>
      <c r="AC833">
        <v>2881.7</v>
      </c>
      <c r="AD833">
        <v>2936.7</v>
      </c>
      <c r="AE833">
        <v>2989</v>
      </c>
      <c r="AF833">
        <v>3039.6</v>
      </c>
      <c r="AG833">
        <v>3089</v>
      </c>
      <c r="AH833">
        <v>3137.8</v>
      </c>
      <c r="AI833">
        <v>3186.1</v>
      </c>
      <c r="AJ833">
        <v>3234.3</v>
      </c>
      <c r="AK833">
        <v>3282.4</v>
      </c>
      <c r="AL833">
        <v>3330.6</v>
      </c>
    </row>
    <row r="834" spans="1:38" x14ac:dyDescent="0.3">
      <c r="A834">
        <v>10800</v>
      </c>
      <c r="B834">
        <v>316.67</v>
      </c>
      <c r="C834" t="s">
        <v>19</v>
      </c>
      <c r="D834">
        <v>1442.2</v>
      </c>
      <c r="E834">
        <v>2713.1</v>
      </c>
      <c r="F834" t="s">
        <v>21</v>
      </c>
      <c r="G834" t="s">
        <v>21</v>
      </c>
      <c r="H834" t="s">
        <v>21</v>
      </c>
      <c r="I834" t="s">
        <v>21</v>
      </c>
      <c r="J834" t="s">
        <v>21</v>
      </c>
      <c r="K834" t="s">
        <v>21</v>
      </c>
      <c r="L834" t="s">
        <v>21</v>
      </c>
      <c r="M834" t="s">
        <v>21</v>
      </c>
      <c r="N834" t="s">
        <v>21</v>
      </c>
      <c r="O834" t="s">
        <v>21</v>
      </c>
      <c r="P834" t="s">
        <v>21</v>
      </c>
      <c r="Q834" t="s">
        <v>21</v>
      </c>
      <c r="R834" t="s">
        <v>21</v>
      </c>
      <c r="S834" t="s">
        <v>21</v>
      </c>
      <c r="T834" t="s">
        <v>21</v>
      </c>
      <c r="U834">
        <v>2736.5</v>
      </c>
      <c r="V834">
        <v>2764.9749999999999</v>
      </c>
      <c r="W834">
        <v>2850.4</v>
      </c>
      <c r="X834">
        <v>2894.9</v>
      </c>
      <c r="Y834">
        <v>2939.4</v>
      </c>
      <c r="Z834">
        <v>2996.0250000000001</v>
      </c>
      <c r="AA834">
        <v>3014.9</v>
      </c>
      <c r="AB834">
        <v>3082.3</v>
      </c>
      <c r="AC834">
        <v>3159.3</v>
      </c>
      <c r="AD834">
        <v>3230.9</v>
      </c>
      <c r="AE834">
        <v>3299</v>
      </c>
      <c r="AF834">
        <v>3364.7</v>
      </c>
      <c r="AG834">
        <v>3428.8</v>
      </c>
      <c r="AH834">
        <v>3491.8</v>
      </c>
      <c r="AI834">
        <v>3554.1</v>
      </c>
      <c r="AJ834">
        <v>3615.9</v>
      </c>
      <c r="AK834">
        <v>3677.5</v>
      </c>
      <c r="AL834">
        <v>3738.9</v>
      </c>
    </row>
    <row r="835" spans="1:38" x14ac:dyDescent="0.3">
      <c r="A835">
        <v>10800</v>
      </c>
      <c r="B835">
        <v>316.67</v>
      </c>
      <c r="C835" t="s">
        <v>20</v>
      </c>
      <c r="D835">
        <v>3.4167000000000001</v>
      </c>
      <c r="E835">
        <v>5.5715000000000003</v>
      </c>
      <c r="F835" t="s">
        <v>21</v>
      </c>
      <c r="G835" t="s">
        <v>21</v>
      </c>
      <c r="H835" t="s">
        <v>21</v>
      </c>
      <c r="I835" t="s">
        <v>21</v>
      </c>
      <c r="J835" t="s">
        <v>21</v>
      </c>
      <c r="K835" t="s">
        <v>21</v>
      </c>
      <c r="L835" t="s">
        <v>21</v>
      </c>
      <c r="M835" t="s">
        <v>21</v>
      </c>
      <c r="N835" t="s">
        <v>21</v>
      </c>
      <c r="O835" t="s">
        <v>21</v>
      </c>
      <c r="P835" t="s">
        <v>21</v>
      </c>
      <c r="Q835" t="s">
        <v>21</v>
      </c>
      <c r="R835" t="s">
        <v>21</v>
      </c>
      <c r="S835" t="s">
        <v>21</v>
      </c>
      <c r="T835" t="s">
        <v>21</v>
      </c>
      <c r="U835">
        <v>5.6109</v>
      </c>
      <c r="V835">
        <v>5.658175</v>
      </c>
      <c r="W835">
        <v>5.8</v>
      </c>
      <c r="X835">
        <v>5.8714499999999994</v>
      </c>
      <c r="Y835">
        <v>5.9428999999999998</v>
      </c>
      <c r="Z835">
        <v>6.0310249999999996</v>
      </c>
      <c r="AA835">
        <v>6.0603999999999996</v>
      </c>
      <c r="AB835">
        <v>6.1620999999999997</v>
      </c>
      <c r="AC835">
        <v>6.2744</v>
      </c>
      <c r="AD835">
        <v>6.3752000000000004</v>
      </c>
      <c r="AE835">
        <v>6.4678000000000004</v>
      </c>
      <c r="AF835">
        <v>6.5541999999999998</v>
      </c>
      <c r="AG835">
        <v>6.6356999999999999</v>
      </c>
      <c r="AH835">
        <v>6.7134</v>
      </c>
      <c r="AI835">
        <v>6.7880000000000003</v>
      </c>
      <c r="AJ835">
        <v>6.8598999999999997</v>
      </c>
      <c r="AK835">
        <v>6.9294000000000002</v>
      </c>
      <c r="AL835">
        <v>6.9969000000000001</v>
      </c>
    </row>
    <row r="836" spans="1:38" x14ac:dyDescent="0.3">
      <c r="A836">
        <v>11000</v>
      </c>
      <c r="B836">
        <v>318.05</v>
      </c>
      <c r="C836" t="s">
        <v>0</v>
      </c>
      <c r="D836">
        <v>1.4890000000000001</v>
      </c>
      <c r="E836">
        <v>16.006</v>
      </c>
      <c r="F836" t="s">
        <v>21</v>
      </c>
      <c r="G836" t="s">
        <v>21</v>
      </c>
      <c r="H836" t="s">
        <v>21</v>
      </c>
      <c r="I836" t="s">
        <v>21</v>
      </c>
      <c r="J836" t="s">
        <v>21</v>
      </c>
      <c r="K836" t="s">
        <v>21</v>
      </c>
      <c r="L836" t="s">
        <v>21</v>
      </c>
      <c r="M836" t="s">
        <v>21</v>
      </c>
      <c r="N836" t="s">
        <v>21</v>
      </c>
      <c r="O836" t="s">
        <v>21</v>
      </c>
      <c r="P836" t="s">
        <v>21</v>
      </c>
      <c r="Q836" t="s">
        <v>21</v>
      </c>
      <c r="R836" t="s">
        <v>21</v>
      </c>
      <c r="S836" t="s">
        <v>21</v>
      </c>
      <c r="T836" t="s">
        <v>21</v>
      </c>
      <c r="U836">
        <v>16.285</v>
      </c>
      <c r="V836">
        <v>16.8735</v>
      </c>
      <c r="W836">
        <v>18.638999999999999</v>
      </c>
      <c r="X836">
        <v>19.566499999999998</v>
      </c>
      <c r="Y836">
        <v>20.494</v>
      </c>
      <c r="Z836">
        <v>21.685749999999999</v>
      </c>
      <c r="AA836">
        <v>22.082999999999998</v>
      </c>
      <c r="AB836">
        <v>23.512</v>
      </c>
      <c r="AC836">
        <v>25.151</v>
      </c>
      <c r="AD836">
        <v>26.675999999999998</v>
      </c>
      <c r="AE836">
        <v>28.12</v>
      </c>
      <c r="AF836">
        <v>29.503</v>
      </c>
      <c r="AG836">
        <v>30.838999999999999</v>
      </c>
      <c r="AH836">
        <v>32.139000000000003</v>
      </c>
      <c r="AI836">
        <v>33.409999999999997</v>
      </c>
      <c r="AJ836">
        <v>34.655999999999999</v>
      </c>
      <c r="AK836">
        <v>35.881999999999998</v>
      </c>
      <c r="AL836">
        <v>37.091000000000001</v>
      </c>
    </row>
    <row r="837" spans="1:38" x14ac:dyDescent="0.3">
      <c r="A837">
        <v>11000</v>
      </c>
      <c r="B837">
        <v>318.05</v>
      </c>
      <c r="C837" t="s">
        <v>18</v>
      </c>
      <c r="D837">
        <v>1434.2</v>
      </c>
      <c r="E837">
        <v>2533.1999999999998</v>
      </c>
      <c r="F837" t="s">
        <v>21</v>
      </c>
      <c r="G837" t="s">
        <v>21</v>
      </c>
      <c r="H837" t="s">
        <v>21</v>
      </c>
      <c r="I837" t="s">
        <v>21</v>
      </c>
      <c r="J837" t="s">
        <v>21</v>
      </c>
      <c r="K837" t="s">
        <v>21</v>
      </c>
      <c r="L837" t="s">
        <v>21</v>
      </c>
      <c r="M837" t="s">
        <v>21</v>
      </c>
      <c r="N837" t="s">
        <v>21</v>
      </c>
      <c r="O837" t="s">
        <v>21</v>
      </c>
      <c r="P837" t="s">
        <v>21</v>
      </c>
      <c r="Q837" t="s">
        <v>21</v>
      </c>
      <c r="R837" t="s">
        <v>21</v>
      </c>
      <c r="S837" t="s">
        <v>21</v>
      </c>
      <c r="T837" t="s">
        <v>21</v>
      </c>
      <c r="U837">
        <v>2544.4</v>
      </c>
      <c r="V837">
        <v>2567.4749999999999</v>
      </c>
      <c r="W837">
        <v>2636.7</v>
      </c>
      <c r="X837">
        <v>2672.05</v>
      </c>
      <c r="Y837">
        <v>2707.4</v>
      </c>
      <c r="Z837">
        <v>2751.875</v>
      </c>
      <c r="AA837">
        <v>2766.7</v>
      </c>
      <c r="AB837">
        <v>2819.2</v>
      </c>
      <c r="AC837">
        <v>2878.9</v>
      </c>
      <c r="AD837">
        <v>2934.3</v>
      </c>
      <c r="AE837">
        <v>2986.9</v>
      </c>
      <c r="AF837">
        <v>3037.7</v>
      </c>
      <c r="AG837">
        <v>3087.3</v>
      </c>
      <c r="AH837">
        <v>3136.2</v>
      </c>
      <c r="AI837">
        <v>3184.7</v>
      </c>
      <c r="AJ837">
        <v>3233</v>
      </c>
      <c r="AK837">
        <v>3281.2</v>
      </c>
      <c r="AL837">
        <v>3329.5</v>
      </c>
    </row>
    <row r="838" spans="1:38" x14ac:dyDescent="0.3">
      <c r="A838">
        <v>11000</v>
      </c>
      <c r="B838">
        <v>318.05</v>
      </c>
      <c r="C838" t="s">
        <v>19</v>
      </c>
      <c r="D838">
        <v>1450.6</v>
      </c>
      <c r="E838">
        <v>2709.3</v>
      </c>
      <c r="F838" t="s">
        <v>21</v>
      </c>
      <c r="G838" t="s">
        <v>21</v>
      </c>
      <c r="H838" t="s">
        <v>21</v>
      </c>
      <c r="I838" t="s">
        <v>21</v>
      </c>
      <c r="J838" t="s">
        <v>21</v>
      </c>
      <c r="K838" t="s">
        <v>21</v>
      </c>
      <c r="L838" t="s">
        <v>21</v>
      </c>
      <c r="M838" t="s">
        <v>21</v>
      </c>
      <c r="N838" t="s">
        <v>21</v>
      </c>
      <c r="O838" t="s">
        <v>21</v>
      </c>
      <c r="P838" t="s">
        <v>21</v>
      </c>
      <c r="Q838" t="s">
        <v>21</v>
      </c>
      <c r="R838" t="s">
        <v>21</v>
      </c>
      <c r="S838" t="s">
        <v>21</v>
      </c>
      <c r="T838" t="s">
        <v>21</v>
      </c>
      <c r="U838">
        <v>2723.5</v>
      </c>
      <c r="V838">
        <v>2753.05</v>
      </c>
      <c r="W838">
        <v>2841.7</v>
      </c>
      <c r="X838">
        <v>2887.25</v>
      </c>
      <c r="Y838">
        <v>2932.8</v>
      </c>
      <c r="Z838">
        <v>2990.4</v>
      </c>
      <c r="AA838">
        <v>3009.6</v>
      </c>
      <c r="AB838">
        <v>3077.8</v>
      </c>
      <c r="AC838">
        <v>3155.5</v>
      </c>
      <c r="AD838">
        <v>3227.7</v>
      </c>
      <c r="AE838">
        <v>3296.2</v>
      </c>
      <c r="AF838">
        <v>3362.2</v>
      </c>
      <c r="AG838">
        <v>3426.5</v>
      </c>
      <c r="AH838">
        <v>3489.7</v>
      </c>
      <c r="AI838">
        <v>3552.2</v>
      </c>
      <c r="AJ838">
        <v>3614.2</v>
      </c>
      <c r="AK838">
        <v>3675.9</v>
      </c>
      <c r="AL838">
        <v>3737.5</v>
      </c>
    </row>
    <row r="839" spans="1:38" x14ac:dyDescent="0.3">
      <c r="A839">
        <v>11000</v>
      </c>
      <c r="B839">
        <v>318.05</v>
      </c>
      <c r="C839" t="s">
        <v>20</v>
      </c>
      <c r="D839">
        <v>3.4304000000000001</v>
      </c>
      <c r="E839">
        <v>5.5594999999999999</v>
      </c>
      <c r="F839" t="s">
        <v>21</v>
      </c>
      <c r="G839" t="s">
        <v>21</v>
      </c>
      <c r="H839" t="s">
        <v>21</v>
      </c>
      <c r="I839" t="s">
        <v>21</v>
      </c>
      <c r="J839" t="s">
        <v>21</v>
      </c>
      <c r="K839" t="s">
        <v>21</v>
      </c>
      <c r="L839" t="s">
        <v>21</v>
      </c>
      <c r="M839" t="s">
        <v>21</v>
      </c>
      <c r="N839" t="s">
        <v>21</v>
      </c>
      <c r="O839" t="s">
        <v>21</v>
      </c>
      <c r="P839" t="s">
        <v>21</v>
      </c>
      <c r="Q839" t="s">
        <v>21</v>
      </c>
      <c r="R839" t="s">
        <v>21</v>
      </c>
      <c r="S839" t="s">
        <v>21</v>
      </c>
      <c r="T839" t="s">
        <v>21</v>
      </c>
      <c r="U839">
        <v>5.5834999999999999</v>
      </c>
      <c r="V839">
        <v>5.6325500000000002</v>
      </c>
      <c r="W839">
        <v>5.7797000000000001</v>
      </c>
      <c r="X839">
        <v>5.8528000000000002</v>
      </c>
      <c r="Y839">
        <v>5.9259000000000004</v>
      </c>
      <c r="Z839">
        <v>6.0155250000000002</v>
      </c>
      <c r="AA839">
        <v>6.0453999999999999</v>
      </c>
      <c r="AB839">
        <v>6.1482999999999999</v>
      </c>
      <c r="AC839">
        <v>6.2617000000000003</v>
      </c>
      <c r="AD839">
        <v>6.3632999999999997</v>
      </c>
      <c r="AE839">
        <v>6.4564000000000004</v>
      </c>
      <c r="AF839">
        <v>6.5431999999999997</v>
      </c>
      <c r="AG839">
        <v>6.6250999999999998</v>
      </c>
      <c r="AH839">
        <v>6.7031000000000001</v>
      </c>
      <c r="AI839">
        <v>6.7778999999999998</v>
      </c>
      <c r="AJ839">
        <v>6.8498999999999999</v>
      </c>
      <c r="AK839">
        <v>6.9196</v>
      </c>
      <c r="AL839">
        <v>6.9871999999999996</v>
      </c>
    </row>
    <row r="840" spans="1:38" x14ac:dyDescent="0.3">
      <c r="A840">
        <v>11200</v>
      </c>
      <c r="B840">
        <v>319.39999999999998</v>
      </c>
      <c r="C840" t="s">
        <v>0</v>
      </c>
      <c r="D840">
        <v>1.496</v>
      </c>
      <c r="E840">
        <v>15.638999999999999</v>
      </c>
      <c r="F840" t="s">
        <v>21</v>
      </c>
      <c r="G840" t="s">
        <v>21</v>
      </c>
      <c r="H840" t="s">
        <v>21</v>
      </c>
      <c r="I840" t="s">
        <v>21</v>
      </c>
      <c r="J840" t="s">
        <v>21</v>
      </c>
      <c r="K840" t="s">
        <v>21</v>
      </c>
      <c r="L840" t="s">
        <v>21</v>
      </c>
      <c r="M840" t="s">
        <v>21</v>
      </c>
      <c r="N840" t="s">
        <v>21</v>
      </c>
      <c r="O840" t="s">
        <v>21</v>
      </c>
      <c r="P840" t="s">
        <v>21</v>
      </c>
      <c r="Q840" t="s">
        <v>21</v>
      </c>
      <c r="R840" t="s">
        <v>21</v>
      </c>
      <c r="S840" t="s">
        <v>21</v>
      </c>
      <c r="T840" t="s">
        <v>21</v>
      </c>
      <c r="U840">
        <v>15.726000000000001</v>
      </c>
      <c r="V840">
        <v>16.325500000000002</v>
      </c>
      <c r="W840">
        <v>18.123999999999999</v>
      </c>
      <c r="X840">
        <v>19.055499999999999</v>
      </c>
      <c r="Y840">
        <v>19.986999999999998</v>
      </c>
      <c r="Z840">
        <v>21.176500000000001</v>
      </c>
      <c r="AA840">
        <v>21.573</v>
      </c>
      <c r="AB840">
        <v>22.992999999999999</v>
      </c>
      <c r="AC840">
        <v>24.619</v>
      </c>
      <c r="AD840">
        <v>26.128</v>
      </c>
      <c r="AE840">
        <v>27.555</v>
      </c>
      <c r="AF840">
        <v>28.920999999999999</v>
      </c>
      <c r="AG840">
        <v>30.24</v>
      </c>
      <c r="AH840">
        <v>31.521000000000001</v>
      </c>
      <c r="AI840">
        <v>32.774000000000001</v>
      </c>
      <c r="AJ840">
        <v>34.002000000000002</v>
      </c>
      <c r="AK840">
        <v>35.21</v>
      </c>
      <c r="AL840">
        <v>36.4</v>
      </c>
    </row>
    <row r="841" spans="1:38" x14ac:dyDescent="0.3">
      <c r="A841">
        <v>11200</v>
      </c>
      <c r="B841">
        <v>319.39999999999998</v>
      </c>
      <c r="C841" t="s">
        <v>18</v>
      </c>
      <c r="D841">
        <v>1442.1</v>
      </c>
      <c r="E841">
        <v>2530.3000000000002</v>
      </c>
      <c r="F841" t="s">
        <v>21</v>
      </c>
      <c r="G841" t="s">
        <v>21</v>
      </c>
      <c r="H841" t="s">
        <v>21</v>
      </c>
      <c r="I841" t="s">
        <v>21</v>
      </c>
      <c r="J841" t="s">
        <v>21</v>
      </c>
      <c r="K841" t="s">
        <v>21</v>
      </c>
      <c r="L841" t="s">
        <v>21</v>
      </c>
      <c r="M841" t="s">
        <v>21</v>
      </c>
      <c r="N841" t="s">
        <v>21</v>
      </c>
      <c r="O841" t="s">
        <v>21</v>
      </c>
      <c r="P841" t="s">
        <v>21</v>
      </c>
      <c r="Q841" t="s">
        <v>21</v>
      </c>
      <c r="R841" t="s">
        <v>21</v>
      </c>
      <c r="S841" t="s">
        <v>21</v>
      </c>
      <c r="T841" t="s">
        <v>21</v>
      </c>
      <c r="U841">
        <v>2533.8000000000002</v>
      </c>
      <c r="V841">
        <v>2557.8000000000002</v>
      </c>
      <c r="W841">
        <v>2629.8</v>
      </c>
      <c r="X841">
        <v>2666</v>
      </c>
      <c r="Y841">
        <v>2702.2</v>
      </c>
      <c r="Z841">
        <v>2747.5</v>
      </c>
      <c r="AA841">
        <v>2762.6</v>
      </c>
      <c r="AB841">
        <v>2815.8</v>
      </c>
      <c r="AC841">
        <v>2876</v>
      </c>
      <c r="AD841">
        <v>2931.8</v>
      </c>
      <c r="AE841">
        <v>2984.8</v>
      </c>
      <c r="AF841">
        <v>3035.8</v>
      </c>
      <c r="AG841">
        <v>3085.6</v>
      </c>
      <c r="AH841">
        <v>3134.7</v>
      </c>
      <c r="AI841">
        <v>3183.3</v>
      </c>
      <c r="AJ841">
        <v>3231.7</v>
      </c>
      <c r="AK841">
        <v>3280</v>
      </c>
      <c r="AL841">
        <v>3328.4</v>
      </c>
    </row>
    <row r="842" spans="1:38" x14ac:dyDescent="0.3">
      <c r="A842">
        <v>11200</v>
      </c>
      <c r="B842">
        <v>319.39999999999998</v>
      </c>
      <c r="C842" t="s">
        <v>19</v>
      </c>
      <c r="D842">
        <v>1458.9</v>
      </c>
      <c r="E842">
        <v>2705.4</v>
      </c>
      <c r="F842" t="s">
        <v>21</v>
      </c>
      <c r="G842" t="s">
        <v>21</v>
      </c>
      <c r="H842" t="s">
        <v>21</v>
      </c>
      <c r="I842" t="s">
        <v>21</v>
      </c>
      <c r="J842" t="s">
        <v>21</v>
      </c>
      <c r="K842" t="s">
        <v>21</v>
      </c>
      <c r="L842" t="s">
        <v>21</v>
      </c>
      <c r="M842" t="s">
        <v>21</v>
      </c>
      <c r="N842" t="s">
        <v>21</v>
      </c>
      <c r="O842" t="s">
        <v>21</v>
      </c>
      <c r="P842" t="s">
        <v>21</v>
      </c>
      <c r="Q842" t="s">
        <v>21</v>
      </c>
      <c r="R842" t="s">
        <v>21</v>
      </c>
      <c r="S842" t="s">
        <v>21</v>
      </c>
      <c r="T842" t="s">
        <v>21</v>
      </c>
      <c r="U842">
        <v>2710</v>
      </c>
      <c r="V842">
        <v>2740.7</v>
      </c>
      <c r="W842">
        <v>2832.8</v>
      </c>
      <c r="X842">
        <v>2879.45</v>
      </c>
      <c r="Y842">
        <v>2926.1</v>
      </c>
      <c r="Z842">
        <v>2984.6749999999997</v>
      </c>
      <c r="AA842">
        <v>3004.2</v>
      </c>
      <c r="AB842">
        <v>3073.3</v>
      </c>
      <c r="AC842">
        <v>3151.7</v>
      </c>
      <c r="AD842">
        <v>3224.5</v>
      </c>
      <c r="AE842">
        <v>3293.4</v>
      </c>
      <c r="AF842">
        <v>3359.7</v>
      </c>
      <c r="AG842">
        <v>3424.3</v>
      </c>
      <c r="AH842">
        <v>3487.7</v>
      </c>
      <c r="AI842">
        <v>3550.4</v>
      </c>
      <c r="AJ842">
        <v>3612.5</v>
      </c>
      <c r="AK842">
        <v>3674.4</v>
      </c>
      <c r="AL842">
        <v>3736</v>
      </c>
    </row>
    <row r="843" spans="1:38" x14ac:dyDescent="0.3">
      <c r="A843">
        <v>11200</v>
      </c>
      <c r="B843">
        <v>319.39999999999998</v>
      </c>
      <c r="C843" t="s">
        <v>20</v>
      </c>
      <c r="D843">
        <v>3.444</v>
      </c>
      <c r="E843">
        <v>5.5476000000000001</v>
      </c>
      <c r="F843" t="s">
        <v>21</v>
      </c>
      <c r="G843" t="s">
        <v>21</v>
      </c>
      <c r="H843" t="s">
        <v>21</v>
      </c>
      <c r="I843" t="s">
        <v>21</v>
      </c>
      <c r="J843" t="s">
        <v>21</v>
      </c>
      <c r="K843" t="s">
        <v>21</v>
      </c>
      <c r="L843" t="s">
        <v>21</v>
      </c>
      <c r="M843" t="s">
        <v>21</v>
      </c>
      <c r="N843" t="s">
        <v>21</v>
      </c>
      <c r="O843" t="s">
        <v>21</v>
      </c>
      <c r="P843" t="s">
        <v>21</v>
      </c>
      <c r="Q843" t="s">
        <v>21</v>
      </c>
      <c r="R843" t="s">
        <v>21</v>
      </c>
      <c r="S843" t="s">
        <v>21</v>
      </c>
      <c r="T843" t="s">
        <v>21</v>
      </c>
      <c r="U843">
        <v>5.5552999999999999</v>
      </c>
      <c r="V843">
        <v>5.6062500000000002</v>
      </c>
      <c r="W843">
        <v>5.7591000000000001</v>
      </c>
      <c r="X843">
        <v>5.8340499999999995</v>
      </c>
      <c r="Y843">
        <v>5.9089999999999998</v>
      </c>
      <c r="Z843">
        <v>6.0001249999999997</v>
      </c>
      <c r="AA843">
        <v>6.0305</v>
      </c>
      <c r="AB843">
        <v>6.1346999999999996</v>
      </c>
      <c r="AC843">
        <v>6.2491000000000003</v>
      </c>
      <c r="AD843">
        <v>6.3514999999999997</v>
      </c>
      <c r="AE843">
        <v>6.4451999999999998</v>
      </c>
      <c r="AF843">
        <v>6.5324</v>
      </c>
      <c r="AG843">
        <v>6.6147</v>
      </c>
      <c r="AH843">
        <v>6.6928999999999998</v>
      </c>
      <c r="AI843">
        <v>6.7679</v>
      </c>
      <c r="AJ843">
        <v>6.8400999999999996</v>
      </c>
      <c r="AK843">
        <v>6.9099000000000004</v>
      </c>
      <c r="AL843">
        <v>6.9776999999999996</v>
      </c>
    </row>
    <row r="844" spans="1:38" x14ac:dyDescent="0.3">
      <c r="A844">
        <v>11400</v>
      </c>
      <c r="B844">
        <v>320.74</v>
      </c>
      <c r="C844" t="s">
        <v>0</v>
      </c>
      <c r="D844">
        <v>1.504</v>
      </c>
      <c r="E844">
        <v>15.284000000000001</v>
      </c>
      <c r="F844" t="s">
        <v>21</v>
      </c>
      <c r="G844" t="s">
        <v>21</v>
      </c>
      <c r="H844" t="s">
        <v>21</v>
      </c>
      <c r="I844" t="s">
        <v>21</v>
      </c>
      <c r="J844" t="s">
        <v>21</v>
      </c>
      <c r="K844" t="s">
        <v>21</v>
      </c>
      <c r="L844" t="s">
        <v>21</v>
      </c>
      <c r="M844" t="s">
        <v>21</v>
      </c>
      <c r="N844" t="s">
        <v>21</v>
      </c>
      <c r="O844" t="s">
        <v>21</v>
      </c>
      <c r="P844" t="s">
        <v>21</v>
      </c>
      <c r="Q844" t="s">
        <v>21</v>
      </c>
      <c r="R844" t="s">
        <v>21</v>
      </c>
      <c r="S844" t="s">
        <v>21</v>
      </c>
      <c r="T844" t="s">
        <v>21</v>
      </c>
      <c r="U844" t="s">
        <v>21</v>
      </c>
      <c r="V844">
        <v>15.801127725856697</v>
      </c>
      <c r="W844">
        <v>17.622</v>
      </c>
      <c r="X844">
        <v>18.558500000000002</v>
      </c>
      <c r="Y844">
        <v>19.495000000000001</v>
      </c>
      <c r="Z844">
        <v>20.683</v>
      </c>
      <c r="AA844">
        <v>21.079000000000001</v>
      </c>
      <c r="AB844">
        <v>22.492000000000001</v>
      </c>
      <c r="AC844">
        <v>24.103999999999999</v>
      </c>
      <c r="AD844">
        <v>25.599</v>
      </c>
      <c r="AE844">
        <v>27.01</v>
      </c>
      <c r="AF844">
        <v>28.359000000000002</v>
      </c>
      <c r="AG844">
        <v>29.661000000000001</v>
      </c>
      <c r="AH844">
        <v>30.925000000000001</v>
      </c>
      <c r="AI844">
        <v>32.159999999999997</v>
      </c>
      <c r="AJ844">
        <v>33.369999999999997</v>
      </c>
      <c r="AK844">
        <v>34.56</v>
      </c>
      <c r="AL844">
        <v>35.732999999999997</v>
      </c>
    </row>
    <row r="845" spans="1:38" x14ac:dyDescent="0.3">
      <c r="A845">
        <v>11400</v>
      </c>
      <c r="B845">
        <v>320.74</v>
      </c>
      <c r="C845" t="s">
        <v>18</v>
      </c>
      <c r="D845">
        <v>1450</v>
      </c>
      <c r="E845">
        <v>2527.1999999999998</v>
      </c>
      <c r="F845" t="s">
        <v>21</v>
      </c>
      <c r="G845" t="s">
        <v>21</v>
      </c>
      <c r="H845" t="s">
        <v>21</v>
      </c>
      <c r="I845" t="s">
        <v>21</v>
      </c>
      <c r="J845" t="s">
        <v>21</v>
      </c>
      <c r="K845" t="s">
        <v>21</v>
      </c>
      <c r="L845" t="s">
        <v>21</v>
      </c>
      <c r="M845" t="s">
        <v>21</v>
      </c>
      <c r="N845" t="s">
        <v>21</v>
      </c>
      <c r="O845" t="s">
        <v>21</v>
      </c>
      <c r="P845" t="s">
        <v>21</v>
      </c>
      <c r="Q845" t="s">
        <v>21</v>
      </c>
      <c r="R845" t="s">
        <v>21</v>
      </c>
      <c r="S845" t="s">
        <v>21</v>
      </c>
      <c r="T845" t="s">
        <v>21</v>
      </c>
      <c r="U845" t="s">
        <v>21</v>
      </c>
      <c r="V845">
        <v>2548.3230529595012</v>
      </c>
      <c r="W845">
        <v>2622.7</v>
      </c>
      <c r="X845">
        <v>2659.85</v>
      </c>
      <c r="Y845">
        <v>2697</v>
      </c>
      <c r="Z845">
        <v>2743.05</v>
      </c>
      <c r="AA845">
        <v>2758.4</v>
      </c>
      <c r="AB845">
        <v>2812.3</v>
      </c>
      <c r="AC845">
        <v>2873.1</v>
      </c>
      <c r="AD845">
        <v>2929.4</v>
      </c>
      <c r="AE845">
        <v>2982.6</v>
      </c>
      <c r="AF845">
        <v>3033.9</v>
      </c>
      <c r="AG845">
        <v>3083.9</v>
      </c>
      <c r="AH845">
        <v>3133.1</v>
      </c>
      <c r="AI845">
        <v>3181.9</v>
      </c>
      <c r="AJ845">
        <v>3230.4</v>
      </c>
      <c r="AK845">
        <v>3278.8</v>
      </c>
      <c r="AL845">
        <v>3327.2</v>
      </c>
    </row>
    <row r="846" spans="1:38" x14ac:dyDescent="0.3">
      <c r="A846">
        <v>11400</v>
      </c>
      <c r="B846">
        <v>320.74</v>
      </c>
      <c r="C846" t="s">
        <v>19</v>
      </c>
      <c r="D846">
        <v>1467.2</v>
      </c>
      <c r="E846">
        <v>2701.5</v>
      </c>
      <c r="F846" t="s">
        <v>21</v>
      </c>
      <c r="G846" t="s">
        <v>21</v>
      </c>
      <c r="H846" t="s">
        <v>21</v>
      </c>
      <c r="I846" t="s">
        <v>21</v>
      </c>
      <c r="J846" t="s">
        <v>21</v>
      </c>
      <c r="K846" t="s">
        <v>21</v>
      </c>
      <c r="L846" t="s">
        <v>21</v>
      </c>
      <c r="M846" t="s">
        <v>21</v>
      </c>
      <c r="N846" t="s">
        <v>21</v>
      </c>
      <c r="O846" t="s">
        <v>21</v>
      </c>
      <c r="P846" t="s">
        <v>21</v>
      </c>
      <c r="Q846" t="s">
        <v>21</v>
      </c>
      <c r="R846" t="s">
        <v>21</v>
      </c>
      <c r="S846" t="s">
        <v>21</v>
      </c>
      <c r="T846" t="s">
        <v>21</v>
      </c>
      <c r="U846" t="s">
        <v>21</v>
      </c>
      <c r="V846">
        <v>2728.5065420560745</v>
      </c>
      <c r="W846">
        <v>2823.6</v>
      </c>
      <c r="X846">
        <v>2871.45</v>
      </c>
      <c r="Y846">
        <v>2919.3</v>
      </c>
      <c r="Z846">
        <v>2978.85</v>
      </c>
      <c r="AA846">
        <v>2998.7</v>
      </c>
      <c r="AB846">
        <v>3068.7</v>
      </c>
      <c r="AC846">
        <v>3147.9</v>
      </c>
      <c r="AD846">
        <v>3221.2</v>
      </c>
      <c r="AE846">
        <v>3290.5</v>
      </c>
      <c r="AF846">
        <v>3357.2</v>
      </c>
      <c r="AG846">
        <v>3422.1</v>
      </c>
      <c r="AH846">
        <v>3485.7</v>
      </c>
      <c r="AI846">
        <v>3548.5</v>
      </c>
      <c r="AJ846">
        <v>3610.8</v>
      </c>
      <c r="AK846">
        <v>3672.8</v>
      </c>
      <c r="AL846">
        <v>3734.6</v>
      </c>
    </row>
    <row r="847" spans="1:38" x14ac:dyDescent="0.3">
      <c r="A847">
        <v>11400</v>
      </c>
      <c r="B847">
        <v>320.74</v>
      </c>
      <c r="C847" t="s">
        <v>20</v>
      </c>
      <c r="D847">
        <v>3.4575</v>
      </c>
      <c r="E847">
        <v>5.5357000000000003</v>
      </c>
      <c r="F847" t="s">
        <v>21</v>
      </c>
      <c r="G847" t="s">
        <v>21</v>
      </c>
      <c r="H847" t="s">
        <v>21</v>
      </c>
      <c r="I847" t="s">
        <v>21</v>
      </c>
      <c r="J847" t="s">
        <v>21</v>
      </c>
      <c r="K847" t="s">
        <v>21</v>
      </c>
      <c r="L847" t="s">
        <v>21</v>
      </c>
      <c r="M847" t="s">
        <v>21</v>
      </c>
      <c r="N847" t="s">
        <v>21</v>
      </c>
      <c r="O847" t="s">
        <v>21</v>
      </c>
      <c r="P847" t="s">
        <v>21</v>
      </c>
      <c r="Q847" t="s">
        <v>21</v>
      </c>
      <c r="R847" t="s">
        <v>21</v>
      </c>
      <c r="S847" t="s">
        <v>21</v>
      </c>
      <c r="T847" t="s">
        <v>21</v>
      </c>
      <c r="U847" t="s">
        <v>21</v>
      </c>
      <c r="V847">
        <v>5.5805118380062311</v>
      </c>
      <c r="W847">
        <v>5.7382999999999997</v>
      </c>
      <c r="X847">
        <v>5.81515</v>
      </c>
      <c r="Y847">
        <v>5.8920000000000003</v>
      </c>
      <c r="Z847">
        <v>5.9847000000000001</v>
      </c>
      <c r="AA847">
        <v>6.0156000000000001</v>
      </c>
      <c r="AB847">
        <v>6.1211000000000002</v>
      </c>
      <c r="AC847">
        <v>6.2366999999999999</v>
      </c>
      <c r="AD847">
        <v>6.3399000000000001</v>
      </c>
      <c r="AE847">
        <v>6.4340999999999999</v>
      </c>
      <c r="AF847">
        <v>6.5217999999999998</v>
      </c>
      <c r="AG847">
        <v>6.6043000000000003</v>
      </c>
      <c r="AH847">
        <v>6.6828000000000003</v>
      </c>
      <c r="AI847">
        <v>6.758</v>
      </c>
      <c r="AJ847">
        <v>6.8304</v>
      </c>
      <c r="AK847">
        <v>6.9004000000000003</v>
      </c>
      <c r="AL847">
        <v>6.9683000000000002</v>
      </c>
    </row>
  </sheetData>
  <sheetProtection algorithmName="SHA-512" hashValue="PNRlu+dWYqcIwMSXQXjo1CVDnVpwIrgv6uVKKdpsv+zfSllsObSsew2BVkDltI7IXfkzxXEqMc4IHxarlaAk3Q==" saltValue="dzAgaCJsVBAOInLKVPfF5w==" spinCount="100000" sheet="1" objects="1" scenarios="1" selectLockedCells="1"/>
  <protectedRanges>
    <protectedRange sqref="B1 A4:B4" name="Rango1"/>
  </protectedRanges>
  <mergeCells count="5">
    <mergeCell ref="D8:F8"/>
    <mergeCell ref="G8:I8"/>
    <mergeCell ref="J8:L8"/>
    <mergeCell ref="M8:O8"/>
    <mergeCell ref="H1:J1"/>
  </mergeCells>
  <dataValidations count="2">
    <dataValidation type="list" allowBlank="1" showInputMessage="1" showErrorMessage="1" sqref="A265 A4" xr:uid="{C7ADEBB3-3ECB-4E4A-8309-F091886F9D3A}">
      <formula1>$D$262:$D$266</formula1>
    </dataValidation>
    <dataValidation type="list" allowBlank="1" showInputMessage="1" showErrorMessage="1" sqref="S24" xr:uid="{3EB31499-5BBD-4A52-AEC8-CAA4123977A1}">
      <formula1>$V$8:$V$9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1D0F3-5331-4738-ABD5-33626111F326}">
  <sheetPr codeName="Hoja24"/>
  <dimension ref="A1:H15"/>
  <sheetViews>
    <sheetView tabSelected="1" workbookViewId="0">
      <selection activeCell="D19" sqref="D19"/>
    </sheetView>
  </sheetViews>
  <sheetFormatPr baseColWidth="10" defaultRowHeight="14.4" x14ac:dyDescent="0.3"/>
  <sheetData>
    <row r="1" spans="1:8" x14ac:dyDescent="0.3">
      <c r="D1" s="1" t="s">
        <v>77</v>
      </c>
      <c r="E1" s="1" t="s">
        <v>54</v>
      </c>
      <c r="F1" s="1" t="s">
        <v>84</v>
      </c>
      <c r="G1" s="1" t="s">
        <v>85</v>
      </c>
      <c r="H1" s="1" t="s">
        <v>56</v>
      </c>
    </row>
    <row r="2" spans="1:8" x14ac:dyDescent="0.3">
      <c r="D2" s="2">
        <v>1</v>
      </c>
      <c r="E2" s="2">
        <v>584.20659999999987</v>
      </c>
      <c r="F2" s="2">
        <v>1.7271648000000002</v>
      </c>
      <c r="G2" s="2">
        <v>138.86199999999999</v>
      </c>
      <c r="H2" s="2">
        <v>4500</v>
      </c>
    </row>
    <row r="3" spans="1:8" x14ac:dyDescent="0.3">
      <c r="D3" s="2">
        <v>2</v>
      </c>
      <c r="E3" s="2">
        <v>3439.3</v>
      </c>
      <c r="F3" s="2">
        <v>7.0311000000000003</v>
      </c>
      <c r="G3" s="2">
        <v>500</v>
      </c>
      <c r="H3" s="2">
        <v>4500</v>
      </c>
    </row>
    <row r="4" spans="1:8" x14ac:dyDescent="0.3">
      <c r="A4" s="7" t="s">
        <v>81</v>
      </c>
      <c r="B4" s="7"/>
      <c r="D4" s="2">
        <v>3</v>
      </c>
      <c r="E4" s="2">
        <v>2904.3619354838711</v>
      </c>
      <c r="F4" s="2">
        <v>7.3223138904003129</v>
      </c>
      <c r="G4" s="2">
        <v>219.93346288379348</v>
      </c>
      <c r="H4" s="2">
        <v>350</v>
      </c>
    </row>
    <row r="5" spans="1:8" x14ac:dyDescent="0.3">
      <c r="A5" s="7"/>
      <c r="B5" s="7"/>
      <c r="D5" s="2">
        <v>4</v>
      </c>
      <c r="E5" s="2">
        <v>2512.2305741866421</v>
      </c>
      <c r="F5" s="2">
        <v>7.6165043910653933</v>
      </c>
      <c r="G5" s="2">
        <v>60.085106382978722</v>
      </c>
      <c r="H5" s="2">
        <v>20</v>
      </c>
    </row>
    <row r="6" spans="1:8" x14ac:dyDescent="0.3">
      <c r="D6" s="2">
        <v>5</v>
      </c>
      <c r="E6" s="2">
        <v>251.45744680851061</v>
      </c>
      <c r="F6" s="2">
        <v>0.83206382978723414</v>
      </c>
      <c r="G6" s="2">
        <v>60.085106382978722</v>
      </c>
      <c r="H6" s="2">
        <v>20</v>
      </c>
    </row>
    <row r="7" spans="1:8" x14ac:dyDescent="0.3">
      <c r="D7" s="2">
        <v>6</v>
      </c>
      <c r="E7" s="2">
        <v>255.10267982978721</v>
      </c>
      <c r="F7" s="2">
        <v>0.84291273758865248</v>
      </c>
      <c r="G7" s="2">
        <v>60.953019007092188</v>
      </c>
      <c r="H7" s="2">
        <v>4500</v>
      </c>
    </row>
    <row r="8" spans="1:8" x14ac:dyDescent="0.3">
      <c r="D8" s="2">
        <v>7</v>
      </c>
      <c r="E8" s="2">
        <v>584.20659999999998</v>
      </c>
      <c r="F8" s="2">
        <v>1.7271648000000002</v>
      </c>
      <c r="G8" s="2">
        <v>138.86199999999999</v>
      </c>
      <c r="H8" s="2">
        <v>350</v>
      </c>
    </row>
    <row r="10" spans="1:8" x14ac:dyDescent="0.3">
      <c r="D10" s="8" t="s">
        <v>78</v>
      </c>
      <c r="E10" s="8"/>
      <c r="F10" s="8"/>
      <c r="G10" s="8"/>
      <c r="H10" s="2">
        <v>0.14184564073662664</v>
      </c>
    </row>
    <row r="11" spans="1:8" x14ac:dyDescent="0.3">
      <c r="D11" s="8" t="s">
        <v>79</v>
      </c>
      <c r="E11" s="8"/>
      <c r="F11" s="8"/>
      <c r="G11" s="8"/>
      <c r="H11" s="2">
        <v>0.30394874948607642</v>
      </c>
    </row>
    <row r="12" spans="1:8" x14ac:dyDescent="0.3">
      <c r="D12" s="8" t="s">
        <v>80</v>
      </c>
      <c r="E12" s="8"/>
      <c r="F12" s="8"/>
      <c r="G12" s="8"/>
      <c r="H12" s="2">
        <v>0.56899035583912738</v>
      </c>
    </row>
    <row r="13" spans="1:8" x14ac:dyDescent="0.3">
      <c r="D13" s="6" t="s">
        <v>86</v>
      </c>
      <c r="E13" s="6"/>
      <c r="F13" s="6"/>
      <c r="G13" s="6"/>
      <c r="H13" s="2">
        <v>-697.15784129378153</v>
      </c>
    </row>
    <row r="14" spans="1:8" x14ac:dyDescent="0.3">
      <c r="D14" s="6" t="s">
        <v>87</v>
      </c>
      <c r="E14" s="6"/>
      <c r="F14" s="6"/>
      <c r="G14" s="6"/>
      <c r="H14" s="2">
        <v>-1987.29133140405</v>
      </c>
    </row>
    <row r="15" spans="1:8" x14ac:dyDescent="0.3">
      <c r="D15" s="6" t="s">
        <v>88</v>
      </c>
      <c r="E15" s="6"/>
      <c r="F15" s="6"/>
      <c r="G15" s="6"/>
      <c r="H15" s="2">
        <v>411.37990021276579</v>
      </c>
    </row>
  </sheetData>
  <mergeCells count="7">
    <mergeCell ref="D15:G15"/>
    <mergeCell ref="A4:B5"/>
    <mergeCell ref="D13:G13"/>
    <mergeCell ref="D10:G10"/>
    <mergeCell ref="D11:G11"/>
    <mergeCell ref="D12:G12"/>
    <mergeCell ref="D14:G14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icloRankineSI">
                <anchor moveWithCells="1" sizeWithCells="1">
                  <from>
                    <xdr:col>0</xdr:col>
                    <xdr:colOff>22860</xdr:colOff>
                    <xdr:row>0</xdr:row>
                    <xdr:rowOff>22860</xdr:rowOff>
                  </from>
                  <to>
                    <xdr:col>1</xdr:col>
                    <xdr:colOff>762000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Info H2O SI</vt:lpstr>
      <vt:lpstr>Simuladores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jurru</dc:creator>
  <cp:lastModifiedBy>URRUELA GODOY, JORGE EDUARDO</cp:lastModifiedBy>
  <dcterms:created xsi:type="dcterms:W3CDTF">2022-03-13T15:00:37Z</dcterms:created>
  <dcterms:modified xsi:type="dcterms:W3CDTF">2025-01-21T00:45:19Z</dcterms:modified>
</cp:coreProperties>
</file>